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knuackr-my.sharepoint.com/personal/2022428391_office_knu_ac_kr/Documents/문서/"/>
    </mc:Choice>
  </mc:AlternateContent>
  <xr:revisionPtr revIDLastSave="0" documentId="8_{D22988D9-3CB5-4961-9A1D-9372B208D33A}" xr6:coauthVersionLast="47" xr6:coauthVersionMax="47" xr10:uidLastSave="{00000000-0000-0000-0000-000000000000}"/>
  <bookViews>
    <workbookView xWindow="-108" yWindow="-108" windowWidth="23256" windowHeight="12456" firstSheet="3" activeTab="7" xr2:uid="{F39B0D49-0559-4DCB-B451-FDD95B988045}"/>
  </bookViews>
  <sheets>
    <sheet name="중도 탈락률" sheetId="1" r:id="rId1"/>
    <sheet name="언제부터 의대 증원율을 줄여야할까" sheetId="2" r:id="rId2"/>
    <sheet name="언제부터 의대 증원율을 줄여야할까2편" sheetId="3" r:id="rId3"/>
    <sheet name="3편(활동의사수 데이터 기반)" sheetId="4" r:id="rId4"/>
    <sheet name="2065년까지 예상 GDP" sheetId="5" r:id="rId5"/>
    <sheet name="GDP 예상 2" sheetId="6" r:id="rId6"/>
    <sheet name="GDP 2-1" sheetId="8" r:id="rId7"/>
    <sheet name="인구 예상 추계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2" i="5"/>
</calcChain>
</file>

<file path=xl/sharedStrings.xml><?xml version="1.0" encoding="utf-8"?>
<sst xmlns="http://schemas.openxmlformats.org/spreadsheetml/2006/main" count="347" uniqueCount="315">
  <si>
    <t>중도 탈락률 정의: 국가고시 합격 후 은퇴(50년) 전에 현장을 떠나는 비율(사망/이민/비진료 등등)</t>
    <phoneticPr fontId="1" type="noConversion"/>
  </si>
  <si>
    <r>
      <t xml:space="preserve">비포함: 70세 도달에 따른 </t>
    </r>
    <r>
      <rPr>
        <b/>
        <sz val="11"/>
        <color theme="1"/>
        <rFont val="맑은 고딕"/>
        <family val="3"/>
        <charset val="129"/>
        <scheme val="minor"/>
      </rPr>
      <t>정년성 은퇴</t>
    </r>
    <r>
      <rPr>
        <sz val="11"/>
        <color theme="1"/>
        <rFont val="맑은 고딕"/>
        <family val="2"/>
        <charset val="129"/>
        <scheme val="minor"/>
      </rPr>
      <t>(이는 따로 “50년 경과 시점에서의 완전 이탈”로 처리).</t>
    </r>
    <phoneticPr fontId="1" type="noConversion"/>
  </si>
  <si>
    <t>포함: 사망·이민·장기휴직·비진료 전환(연구·행정·산업체) 등으로 활동 의사(stock)에서 빠지는 모든 흐름</t>
    <phoneticPr fontId="1" type="noConversion"/>
  </si>
  <si>
    <t>카테고리</t>
  </si>
  <si>
    <t>연간 탈락률 추정 (%)</t>
  </si>
  <si>
    <t>누적 탈락률 (50년 기준, %)</t>
  </si>
  <si>
    <t>주요 이유 및 출처</t>
  </si>
  <si>
    <t>사망</t>
  </si>
  <si>
    <t>0.3~0.5</t>
  </si>
  <si>
    <t>12~20</t>
  </si>
  <si>
    <t>낮은 사망률 (일반 인구 50% 미만).</t>
  </si>
  <si>
    <t>이직/이민</t>
  </si>
  <si>
    <t>1.0~1.5</t>
  </si>
  <si>
    <t>30~40</t>
  </si>
  <si>
    <t>미용의학 이동, 해외 취업. OECD 평균 이하.</t>
  </si>
  <si>
    <t>레지던트 dropout</t>
  </si>
  <si>
    <t>10~20 (초기 4~5년)</t>
  </si>
  <si>
    <t>5~10 (전체 경력)</t>
  </si>
  <si>
    <t>직업 스트레스, 낮은 보수.</t>
  </si>
  <si>
    <t>총합</t>
  </si>
  <si>
    <t>1.0~2.0 (연간 평균)</t>
  </si>
  <si>
    <t>20~40</t>
  </si>
  <si>
    <t>보건복지부 모델 기반 추정. 파업 영향으로 2024~2025 증가.</t>
  </si>
  <si>
    <t>[1992-2002년 한국 등록사인에 따른 의사 사망률] - 펍메드</t>
    <phoneticPr fontId="1" type="noConversion"/>
  </si>
  <si>
    <t>코리아메드 시냅스</t>
  </si>
  <si>
    <r>
      <t xml:space="preserve">데이터의 </t>
    </r>
    <r>
      <rPr>
        <b/>
        <i/>
        <u/>
        <sz val="18"/>
        <color rgb="FFFF0000"/>
        <rFont val="맑은 고딕"/>
        <family val="3"/>
        <charset val="129"/>
        <scheme val="minor"/>
      </rPr>
      <t>한계</t>
    </r>
    <phoneticPr fontId="1" type="noConversion"/>
  </si>
  <si>
    <t>구체적 전국 통계 부족. 2024~2025년 의료 파업으로 레지던트 탈락 증가 (90% 이상 사직, 복귀율 70% 미만</t>
  </si>
  <si>
    <t>주민들은 왜 모두 사임했을까? 한국 주니어 의사 대규모 파업의 주요 시사점 - PMC</t>
  </si>
  <si>
    <t>각 탈락률 별 활동 의사수 시나리오</t>
    <phoneticPr fontId="1" type="noConversion"/>
  </si>
  <si>
    <t>연도</t>
  </si>
  <si>
    <t>활동 의사 수 (δ=1.0%)</t>
  </si>
  <si>
    <t>활동 의사 수 (δ=1.5%)</t>
  </si>
  <si>
    <t>활동 의사 수 (δ=2.0%)</t>
  </si>
  <si>
    <r>
      <t xml:space="preserve">합계(∑) : 최근 50년 동안 배출된 모든 코호트의 </t>
    </r>
    <r>
      <rPr>
        <b/>
        <sz val="11"/>
        <color theme="1"/>
        <rFont val="맑은 고딕"/>
        <family val="3"/>
        <charset val="129"/>
        <scheme val="minor"/>
      </rPr>
      <t>잔존 인원 합계</t>
    </r>
    <r>
      <rPr>
        <sz val="11"/>
        <color theme="1"/>
        <rFont val="맑은 고딕"/>
        <family val="2"/>
        <charset val="129"/>
        <scheme val="minor"/>
      </rPr>
      <t>.</t>
    </r>
  </si>
  <si>
    <t>t : 계산하고 싶은 특정 연도 (예: 2025년).</t>
    <phoneticPr fontId="1" type="noConversion"/>
  </si>
  <si>
    <r>
      <t xml:space="preserve">y : 해당 연도 이전의 </t>
    </r>
    <r>
      <rPr>
        <b/>
        <sz val="11"/>
        <color theme="1"/>
        <rFont val="맑은 고딕"/>
        <family val="3"/>
        <charset val="129"/>
        <scheme val="minor"/>
      </rPr>
      <t>국가고시 합격 연도</t>
    </r>
    <r>
      <rPr>
        <sz val="11"/>
        <color theme="1"/>
        <rFont val="맑은 고딕"/>
        <family val="2"/>
        <charset val="129"/>
        <scheme val="minor"/>
      </rPr>
      <t xml:space="preserve"> (최대 50년 전까지).</t>
    </r>
    <phoneticPr fontId="1" type="noConversion"/>
  </si>
  <si>
    <t>합격자(y): y년도 국시 합격자 수 → 즉, 그 해에 새로 배출된 의사 "코호트".</t>
    <phoneticPr fontId="1" type="noConversion"/>
  </si>
  <si>
    <r>
      <t xml:space="preserve">(1−δ)^(t−y) : 합격 이후 t−y년 동안 매년 δ만큼 이탈했다고 가정할 때, 그 코호트 중 </t>
    </r>
    <r>
      <rPr>
        <b/>
        <sz val="11"/>
        <color theme="1"/>
        <rFont val="맑은 고딕"/>
        <family val="3"/>
        <charset val="129"/>
        <scheme val="minor"/>
      </rPr>
      <t>아직 남아 있는 비율</t>
    </r>
    <r>
      <rPr>
        <sz val="11"/>
        <color theme="1"/>
        <rFont val="맑은 고딕"/>
        <family val="2"/>
        <charset val="129"/>
        <scheme val="minor"/>
      </rPr>
      <t>.</t>
    </r>
    <phoneticPr fontId="1" type="noConversion"/>
  </si>
  <si>
    <t>t년도까지 배출된 의사들 중 은퇴(50년) 전에 남아 있는 사람들의 수</t>
    <phoneticPr fontId="1" type="noConversion"/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</si>
  <si>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단순 합격자 누적</t>
    </r>
    <r>
      <rPr>
        <sz val="11"/>
        <color theme="1"/>
        <rFont val="맑은 고딕"/>
        <family val="2"/>
        <charset val="129"/>
        <scheme val="minor"/>
      </rPr>
      <t>에서</t>
    </r>
    <r>
      <rPr>
        <sz val="11"/>
        <color theme="1"/>
        <rFont val="맑은 고딕"/>
        <family val="3"/>
        <charset val="129"/>
        <scheme val="minor"/>
      </rPr>
      <t xml:space="preserve"> 은퇴자(50년 초과) 제외, 매년 조금씩 빠져나간 중도 이탈자(δ 반영) 제외, → 실제로 활동하고 있는 의사 수를 추정하는 공식</t>
    </r>
    <phoneticPr fontId="1" type="noConversion"/>
  </si>
  <si>
    <t>EX)</t>
    <phoneticPr fontId="1" type="noConversion"/>
  </si>
  <si>
    <t>2008년 합격자 코호트(3,887명)가 2025년까지 몇 명이 남는지 계산</t>
    <phoneticPr fontId="1" type="noConversion"/>
  </si>
  <si>
    <r>
      <t xml:space="preserve">연간 지속 이탈률: δ = </t>
    </r>
    <r>
      <rPr>
        <b/>
        <sz val="11"/>
        <color theme="1"/>
        <rFont val="맑은 고딕"/>
        <family val="3"/>
        <charset val="129"/>
        <scheme val="minor"/>
      </rPr>
      <t>1.5% (0.015)</t>
    </r>
  </si>
  <si>
    <t>합격 연도: y=2008</t>
    <phoneticPr fontId="1" type="noConversion"/>
  </si>
  <si>
    <t>기준 연도: t=2025</t>
    <phoneticPr fontId="1" type="noConversion"/>
  </si>
  <si>
    <t>경과 기간: t−y=17</t>
    <phoneticPr fontId="1" type="noConversion"/>
  </si>
  <si>
    <t>합격자: 합격자(2008)=3,887</t>
    <phoneticPr fontId="1" type="noConversion"/>
  </si>
  <si>
    <t>계산:</t>
  </si>
  <si>
    <t>잔존자(2025)=3,887×(1−0.015)^17</t>
    <phoneticPr fontId="1" type="noConversion"/>
  </si>
  <si>
    <t>(1−0.015)=0.985</t>
    <phoneticPr fontId="1" type="noConversion"/>
  </si>
  <si>
    <t>0.98517≈0.774</t>
    <phoneticPr fontId="1" type="noConversion"/>
  </si>
  <si>
    <t>3,887×0.774≈3,006명</t>
    <phoneticPr fontId="1" type="noConversion"/>
  </si>
  <si>
    <t>언제부터” 늘린 의대 정원을 줄여야 하나?</t>
  </si>
  <si>
    <t>은퇴: 합격후 50년</t>
    <phoneticPr fontId="1" type="noConversion"/>
  </si>
  <si>
    <t>가정</t>
    <phoneticPr fontId="1" type="noConversion"/>
  </si>
  <si>
    <t>기존 정원(약 3,100명) 대비 +1,600명 증가.</t>
  </si>
  <si>
    <r>
      <t xml:space="preserve">이 증가분이 </t>
    </r>
    <r>
      <rPr>
        <b/>
        <sz val="11"/>
        <color theme="1"/>
        <rFont val="맑은 고딕"/>
        <family val="3"/>
        <charset val="129"/>
        <scheme val="minor"/>
      </rPr>
      <t>10년 후(2035 전후)</t>
    </r>
    <r>
      <rPr>
        <sz val="11"/>
        <color theme="1"/>
        <rFont val="맑은 고딕"/>
        <family val="2"/>
        <charset val="129"/>
        <scheme val="minor"/>
      </rPr>
      <t xml:space="preserve"> 본격적으로 활동에 반영</t>
    </r>
  </si>
  <si>
    <t>의사 공급 가정: 입학 정원, 5058명(2025~2029 5년), 합격률 93% -&gt; 4700명이 본격적으로 배출되기 시작</t>
    <phoneticPr fontId="1" type="noConversion"/>
  </si>
  <si>
    <t>의사 수요 가정</t>
    <phoneticPr fontId="1" type="noConversion"/>
  </si>
  <si>
    <t>한국 인구는 2030년 이후 감소세, 그러나 고령화로 의료수요는 2040년까지 꾸준히 상승</t>
  </si>
  <si>
    <r>
      <t xml:space="preserve">연구마다 다르지만 </t>
    </r>
    <r>
      <rPr>
        <b/>
        <sz val="11"/>
        <color theme="1"/>
        <rFont val="맑은 고딕"/>
        <family val="3"/>
        <charset val="129"/>
        <scheme val="minor"/>
      </rPr>
      <t>연 1.3~1.9% 증가</t>
    </r>
    <r>
      <rPr>
        <sz val="11"/>
        <color theme="1"/>
        <rFont val="맑은 고딕"/>
        <family val="2"/>
        <charset val="129"/>
        <scheme val="minor"/>
      </rPr>
      <t xml:space="preserve"> 전망.</t>
    </r>
  </si>
  <si>
    <t>2030년대 중반에 공급이 수요보다 빠르게 늘어날 수 있음</t>
  </si>
  <si>
    <t>정원감축 시나리오</t>
    <phoneticPr fontId="1" type="noConversion"/>
  </si>
  <si>
    <t>1. 즉시 감축(2025학년부터 원래 정원으로 회귀): 장기적으로 안정적이지만, 단기(2030년대 초반)에 공급 부족이 발생할 위험이 있음.</t>
    <phoneticPr fontId="1" type="noConversion"/>
  </si>
  <si>
    <t xml:space="preserve">2. 2030학년 이후 감축: 증원 효과가 이미 쏟아져 나오는 시기 → 과잉 피크(약 2만 명 이상) 가능. </t>
    <phoneticPr fontId="1" type="noConversion"/>
  </si>
  <si>
    <t>3. 중간 절충(2026~2028학년 감축 시작): 증원 효과를 5~8년 동안만 누리고, 이후 다시 조절. 0235년  과잉규모를 +5000명 수준으로 관리 가능</t>
    <phoneticPr fontId="1" type="noConversion"/>
  </si>
  <si>
    <t>정책적 고려</t>
    <phoneticPr fontId="1" type="noConversion"/>
  </si>
  <si>
    <t>1. 리드 타임: 지금 줄이기로 결정해도 효과는 6~10년 뒤에 나타남.</t>
    <phoneticPr fontId="1" type="noConversion"/>
  </si>
  <si>
    <t>2. 수요 불확실성: 고령화 속도, AI·원격진료 도입, 여성의사 비율(근무시간 단축 경향) 등에 따라 수요는 크게 달라질 수 있음</t>
    <phoneticPr fontId="1" type="noConversion"/>
  </si>
  <si>
    <r>
      <t>수요가 빠르면(연 1.9%)</t>
    </r>
    <r>
      <rPr>
        <sz val="11"/>
        <color theme="1"/>
        <rFont val="맑은 고딕"/>
        <family val="2"/>
        <charset val="129"/>
        <scheme val="minor"/>
      </rPr>
      <t xml:space="preserve"> 늦게 줄여도 과잉 문제 없음</t>
    </r>
    <phoneticPr fontId="1" type="noConversion"/>
  </si>
  <si>
    <r>
      <t>수요가 느리면(연 1.3%)</t>
    </r>
    <r>
      <rPr>
        <sz val="11"/>
        <color theme="1"/>
        <rFont val="맑은 고딕"/>
        <family val="2"/>
        <charset val="129"/>
        <scheme val="minor"/>
      </rPr>
      <t xml:space="preserve"> 빨리 줄여야 과잉 방지 가능.</t>
    </r>
  </si>
  <si>
    <t>3. 정원 조절 방식: 지역·필수과 부족 문제를 해결하기 위해 “총정원”보다 분야별/지역별 정원 조절이 더 중요할 수 있음</t>
    <phoneticPr fontId="1" type="noConversion"/>
  </si>
  <si>
    <t>종합적 결론</t>
    <phoneticPr fontId="1" type="noConversion"/>
  </si>
  <si>
    <t>언제 줄일까에 대한 답 → 수요 증가율에 따라 달라짐</t>
    <phoneticPr fontId="1" type="noConversion"/>
  </si>
  <si>
    <t>ex)</t>
    <phoneticPr fontId="1" type="noConversion"/>
  </si>
  <si>
    <r>
      <t>수요 1.3% (보수적)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즉시(2025학년)</t>
    </r>
    <r>
      <rPr>
        <sz val="11"/>
        <color theme="1"/>
        <rFont val="맑은 고딕"/>
        <family val="2"/>
        <charset val="129"/>
        <scheme val="minor"/>
      </rPr>
      <t xml:space="preserve"> 감축 필요</t>
    </r>
  </si>
  <si>
    <r>
      <t>수요 1.6% (중간)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2026~2027학년</t>
    </r>
    <r>
      <rPr>
        <sz val="11"/>
        <color theme="1"/>
        <rFont val="맑은 고딕"/>
        <family val="2"/>
        <charset val="129"/>
        <scheme val="minor"/>
      </rPr>
      <t xml:space="preserve"> 감축 시작이 적절</t>
    </r>
  </si>
  <si>
    <r>
      <t>수요 1.9% (낙관적)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2028학년까지 유예</t>
    </r>
    <r>
      <rPr>
        <sz val="11"/>
        <color theme="1"/>
        <rFont val="맑은 고딕"/>
        <family val="2"/>
        <charset val="129"/>
        <scheme val="minor"/>
      </rPr>
      <t xml:space="preserve"> 가능.</t>
    </r>
  </si>
  <si>
    <t>감축 시작 학년</t>
  </si>
  <si>
    <t>2035년에 반영되는 증원 코호트 수</t>
  </si>
  <si>
    <t>2035년 추가 면허자(≈ 2,000×0.93×코호트)</t>
  </si>
  <si>
    <t>2035년 활동의사(대략)</t>
  </si>
  <si>
    <t>2025학년(즉시 감축)</t>
  </si>
  <si>
    <t>2026학년</t>
  </si>
  <si>
    <t>2027학년</t>
  </si>
  <si>
    <t>2028학년</t>
  </si>
  <si>
    <t>2029학년</t>
  </si>
  <si>
    <t>감축 없음(5년 유지)</t>
  </si>
  <si>
    <t>시나리오별 2035년 공급치(의대 정원 감축 시점 가정)</t>
    <phoneticPr fontId="1" type="noConversion"/>
  </si>
  <si>
    <t>기준</t>
    <phoneticPr fontId="1" type="noConversion"/>
  </si>
  <si>
    <r>
      <t xml:space="preserve">2025년 활동의사 119,318명, 정부 증원(연 +2,000명, 5개 코호트: 2025~2029) 적용 시 2035년 </t>
    </r>
    <r>
      <rPr>
        <b/>
        <sz val="11"/>
        <color theme="1"/>
        <rFont val="맑은 고딕"/>
        <family val="3"/>
        <charset val="129"/>
        <scheme val="minor"/>
      </rPr>
      <t>150,493명</t>
    </r>
    <r>
      <rPr>
        <sz val="11"/>
        <color theme="1"/>
        <rFont val="맑은 고딕"/>
        <family val="2"/>
        <charset val="129"/>
        <scheme val="minor"/>
      </rPr>
      <t>(연구값).</t>
    </r>
  </si>
  <si>
    <t>합격률 93% 가정</t>
  </si>
  <si>
    <t>A Model for Projecting the Number of Doctors in South Korea - PMC</t>
  </si>
  <si>
    <t>ㅏ…...</t>
    <phoneticPr fontId="1" type="noConversion"/>
  </si>
  <si>
    <t>그 숄로우 논문 보고 조합해서</t>
    <phoneticPr fontId="1" type="noConversion"/>
  </si>
  <si>
    <t>'의사인력 확대 방안' 긴급 브리핑 &lt; 전체 &lt; 보도자료 &lt; 알림 : 힘이 되는 평생 친구, 보건복지부</t>
  </si>
  <si>
    <t>주요 시점 요약</t>
    <phoneticPr fontId="1" type="noConversion"/>
  </si>
  <si>
    <t>2025~2035년: 의대 정원이 급증(정원 5,058명)하면서 활동 의사 수가 크게 증가. 2035년경에는 약 15만 명 도달.</t>
  </si>
  <si>
    <t>2035년 이후: 은퇴자 수 증가(1950~1980년대 입학자의 은퇴 본격화)+신규 공급 효과로 의사 수는 16만 명대 안정(2040년대 중반~).</t>
  </si>
  <si>
    <t>2050년대~2065년: 16.6만~17.3만 명으로 장기적 안정, 오히려 과잉 가능성 제기(AI, 인구 감소).</t>
  </si>
  <si>
    <t>증원율 감소는 공급 과잉 국면 진입 직전에</t>
    <phoneticPr fontId="1" type="noConversion"/>
  </si>
  <si>
    <t>최근 연구는 근무일수를 기준으로 활동 의사수를 구한다고 합니다</t>
    <phoneticPr fontId="1" type="noConversion"/>
  </si>
  <si>
    <t>그래서 그것도 첨부해봅니다</t>
    <phoneticPr fontId="1" type="noConversion"/>
  </si>
  <si>
    <t>국가고시 기준 (명)</t>
    <phoneticPr fontId="1" type="noConversion"/>
  </si>
  <si>
    <t>근무일수 기준 (FTE, 명)</t>
    <phoneticPr fontId="1" type="noConversion"/>
  </si>
  <si>
    <t>‘공급 과잉’이 가장 우려되는 시점은 2035년 전후로 판단</t>
    <phoneticPr fontId="1" type="noConversion"/>
  </si>
  <si>
    <t>이후에는 은퇴자도 늘고, 인구는 감소하며, AI 등 의료 수요가 줄어들 수 있기 때문.</t>
    <phoneticPr fontId="1" type="noConversion"/>
  </si>
  <si>
    <t>판단 포인트</t>
    <phoneticPr fontId="1" type="noConversion"/>
  </si>
  <si>
    <t>결론</t>
    <phoneticPr fontId="1" type="noConversion"/>
  </si>
  <si>
    <t>의사 증원율 감소 시점은 2030년대 중반(대략 2035년경)을 목표로 준비</t>
    <phoneticPr fontId="1" type="noConversion"/>
  </si>
  <si>
    <t>25~35년까지는 정원 확대 효과가 나타남</t>
    <phoneticPr fontId="1" type="noConversion"/>
  </si>
  <si>
    <t>의료정책연구원, 2035년 의사 과잉 우려 - 의사신문</t>
  </si>
  <si>
    <r>
      <t xml:space="preserve">2034: </t>
    </r>
    <r>
      <rPr>
        <sz val="11"/>
        <color theme="1"/>
        <rFont val="맑은 고딕"/>
        <family val="3"/>
        <charset val="129"/>
        <scheme val="minor"/>
      </rPr>
      <t>대규모 증원 정책의 초기 성과와 부작용을 데이터로 확인할 수 있는 사실상의 첫해</t>
    </r>
    <phoneticPr fontId="1" type="noConversion"/>
  </si>
  <si>
    <t>첫 증원 세대의 배출 완료 (2031년 ~ 2033년)</t>
  </si>
  <si>
    <r>
      <t xml:space="preserve">2025년에 입학한 증원된 1기 학생들이 의대 6년 과정을 마치고 의사 국가고시에 합격해 </t>
    </r>
    <r>
      <rPr>
        <b/>
        <sz val="11"/>
        <color theme="1"/>
        <rFont val="맑은 고딕"/>
        <family val="3"/>
        <charset val="129"/>
        <scheme val="minor"/>
      </rPr>
      <t>2031년부터 인턴으로 배출</t>
    </r>
  </si>
  <si>
    <r>
      <t xml:space="preserve">이들이 </t>
    </r>
    <r>
      <rPr>
        <b/>
        <sz val="11"/>
        <color theme="1"/>
        <rFont val="맑은 고딕"/>
        <family val="3"/>
        <charset val="129"/>
        <scheme val="minor"/>
      </rPr>
      <t>전공을 선택하는 레지던트 과정에 진입하는 것은 2032년</t>
    </r>
  </si>
  <si>
    <r>
      <t xml:space="preserve">2033년 말이 되면, 증원된 의사 2~3개 기수(2031, 2032, 2033년 졸업생)가 어떤 전문과목과 지역으로 향하는지에 대한 </t>
    </r>
    <r>
      <rPr>
        <b/>
        <sz val="11"/>
        <color theme="1"/>
        <rFont val="맑은 고딕"/>
        <family val="3"/>
        <charset val="129"/>
        <scheme val="minor"/>
      </rPr>
      <t>의미 있는 데이터가 축적</t>
    </r>
  </si>
  <si>
    <t>정책 재평가를 위한 데이터 확보 (2034년)</t>
  </si>
  <si>
    <t>2034년은 이 3년간의 데이터를 종합적으로 분석하여 "증원된 의사들이 과연 필수의료, 지방의료로 가고 있는가?"라는 핵심 질문에 답을 할 수 있는 첫 시점</t>
  </si>
  <si>
    <t>이때의 분석 결과를 바탕으로, 현재의 증원 규모를 유지할지, 축소할지, 아니면 속도를 조절할지에 대한 결정 가능</t>
    <phoneticPr fontId="1" type="noConversion"/>
  </si>
  <si>
    <t>데이터 기반</t>
    <phoneticPr fontId="1" type="noConversion"/>
  </si>
  <si>
    <t>date</t>
    <phoneticPr fontId="1" type="noConversion"/>
  </si>
  <si>
    <t>추정 gdp(원)</t>
    <phoneticPr fontId="1" type="noConversion"/>
  </si>
  <si>
    <t>추정 gdp(10,000원)</t>
    <phoneticPr fontId="1" type="noConversion"/>
  </si>
  <si>
    <t>추정 gdp(1,000원)</t>
    <phoneticPr fontId="1" type="noConversion"/>
  </si>
  <si>
    <t>추정 gdp(100,000원)</t>
    <phoneticPr fontId="1" type="noConversion"/>
  </si>
  <si>
    <t xml:space="preserve">정상성(Augmented Dickey-Fuller) 테스트: </t>
    <phoneticPr fontId="1" type="noConversion"/>
  </si>
  <si>
    <t xml:space="preserve">[ADF] level stat= 0.535, p= 0.9859 </t>
    <phoneticPr fontId="1" type="noConversion"/>
  </si>
  <si>
    <t xml:space="preserve">[ADF] log(level) stat=-2.513, p= 0.1124 </t>
    <phoneticPr fontId="1" type="noConversion"/>
  </si>
  <si>
    <t xml:space="preserve">[ADF] log-diff(1) stat=-3.574, p= 0.0063 </t>
    <phoneticPr fontId="1" type="noConversion"/>
  </si>
  <si>
    <t>검증 구간 길이 h=7 | train=1953-12-31~2017-12-31 | test=2018-12-31~2024-12-31</t>
    <phoneticPr fontId="1" type="noConversion"/>
  </si>
  <si>
    <t xml:space="preserve"> === 선택된 SARIMA 모형 === order: (2, 1, 1) | AIC: -164.77 </t>
    <phoneticPr fontId="1" type="noConversion"/>
  </si>
  <si>
    <t>검증 성능 RMSE: 65,581,655,935,711.586 | MAPE: 2.17%</t>
  </si>
  <si>
    <r>
      <t xml:space="preserve">샘플 수: 72 기간: 1953-01-01 ~ 2024-01-01 </t>
    </r>
    <r>
      <rPr>
        <sz val="11"/>
        <rFont val="돋움"/>
        <family val="3"/>
        <charset val="129"/>
      </rPr>
      <t/>
    </r>
    <phoneticPr fontId="1" type="noConversion"/>
  </si>
  <si>
    <t>ARIMA + 솔로우 기반 장기 모형을 사용한 장기 GDP 추정</t>
    <phoneticPr fontId="1" type="noConversion"/>
  </si>
  <si>
    <t>year</t>
  </si>
  <si>
    <t>Baseline_Final</t>
  </si>
  <si>
    <t>예측치</t>
    <phoneticPr fontId="1" type="noConversion"/>
  </si>
  <si>
    <t>년도</t>
    <phoneticPr fontId="1" type="noConversion"/>
  </si>
  <si>
    <r>
      <t>단기(2025–2030)</t>
    </r>
    <r>
      <rPr>
        <sz val="11"/>
        <color theme="1"/>
        <rFont val="맑은 고딕"/>
        <family val="2"/>
        <charset val="129"/>
        <scheme val="minor"/>
      </rPr>
      <t>:</t>
    </r>
  </si>
  <si>
    <r>
      <t>ARIMA 자동탐색</t>
    </r>
    <r>
      <rPr>
        <sz val="11"/>
        <color theme="1"/>
        <rFont val="맑은 고딕"/>
        <family val="2"/>
        <charset val="129"/>
        <scheme val="minor"/>
      </rPr>
      <t>으로 최근 추세를 외삽.</t>
    </r>
  </si>
  <si>
    <r>
      <t xml:space="preserve">로그 변환 후 적합(성공 시 역변환), 실패 시 </t>
    </r>
    <r>
      <rPr>
        <b/>
        <sz val="11"/>
        <color theme="1"/>
        <rFont val="맑은 고딕"/>
        <family val="3"/>
        <charset val="129"/>
        <scheme val="minor"/>
      </rPr>
      <t>로그-선형 추세</t>
    </r>
    <r>
      <rPr>
        <sz val="11"/>
        <color theme="1"/>
        <rFont val="맑은 고딕"/>
        <family val="2"/>
        <charset val="129"/>
        <scheme val="minor"/>
      </rPr>
      <t>로 폴백.</t>
    </r>
  </si>
  <si>
    <r>
      <t>장기(2031–2065)</t>
    </r>
    <r>
      <rPr>
        <sz val="11"/>
        <color theme="1"/>
        <rFont val="맑은 고딕"/>
        <family val="2"/>
        <charset val="129"/>
        <scheme val="minor"/>
      </rPr>
      <t>:</t>
    </r>
  </si>
  <si>
    <r>
      <t>솔로우 성장모형</t>
    </r>
    <r>
      <rPr>
        <sz val="11"/>
        <color theme="1"/>
        <rFont val="맑은 고딕"/>
        <family val="2"/>
        <charset val="129"/>
        <scheme val="minor"/>
      </rPr>
      <t>(연산형, 노동증가·TFP·자본축적 반영).</t>
    </r>
  </si>
  <si>
    <r>
      <t>시나리오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</si>
  <si>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결과 열: </t>
    </r>
    <r>
      <rPr>
        <sz val="10"/>
        <color theme="1"/>
        <rFont val="Arial Unicode MS"/>
        <family val="2"/>
      </rPr>
      <t>Baseline_Final</t>
    </r>
    <r>
      <rPr>
        <sz val="11"/>
        <color theme="1"/>
        <rFont val="맑은 고딕"/>
        <family val="2"/>
        <charset val="129"/>
        <scheme val="minor"/>
      </rPr>
      <t xml:space="preserve"> = (2025–2030 ARIMA) + (2031–2065 Base 시나리오).</t>
    </r>
  </si>
  <si>
    <t>범위: p,q∈{0,1,2}, d는 ADF 단위근 검정으로 제안(정상성 미통과 시 1차 혹은 2차 차분).</t>
    <phoneticPr fontId="1" type="noConversion"/>
  </si>
  <si>
    <t>파라미터(기본): α=0.33 δ=0.05 초기 K/Y=3.</t>
    <phoneticPr fontId="1" type="noConversion"/>
  </si>
  <si>
    <t>Low: s=0.27, g_A=0.6%, g_L=−0.6%</t>
    <phoneticPr fontId="1" type="noConversion"/>
  </si>
  <si>
    <t>Base: s=0.31, gA=1.2%, gL=−0.3%</t>
    <phoneticPr fontId="1" type="noConversion"/>
  </si>
  <si>
    <t>High: s=0.34, gA=1.8%, gL=0.0%</t>
    <phoneticPr fontId="1" type="noConversion"/>
  </si>
  <si>
    <r>
      <t>(결합)</t>
    </r>
    <r>
      <rPr>
        <sz val="11"/>
        <color theme="1"/>
        <rFont val="맑은 고딕"/>
        <family val="2"/>
        <charset val="129"/>
        <scheme val="minor"/>
      </rPr>
      <t>:</t>
    </r>
    <phoneticPr fontId="1" type="noConversion"/>
  </si>
  <si>
    <r>
      <t xml:space="preserve">2030년 ARIMA 예측값을 ‘기준치’로 하여 성장모형 경로를 같은 값으로 </t>
    </r>
    <r>
      <rPr>
        <b/>
        <sz val="11"/>
        <color theme="1"/>
        <rFont val="맑은 고딕"/>
        <family val="3"/>
        <charset val="129"/>
        <scheme val="minor"/>
      </rPr>
      <t>스케일</t>
    </r>
    <r>
      <rPr>
        <sz val="11"/>
        <color theme="1"/>
        <rFont val="맑은 고딕"/>
        <family val="2"/>
        <charset val="129"/>
        <scheme val="minor"/>
      </rPr>
      <t xml:space="preserve"> → 2031년부터 자연스럽게 이어지도록 연결.</t>
    </r>
    <phoneticPr fontId="1" type="noConversion"/>
  </si>
  <si>
    <t>Scenario_Low</t>
  </si>
  <si>
    <t>Scenario_High</t>
  </si>
  <si>
    <t>예측치 사용하면 됨</t>
    <phoneticPr fontId="1" type="noConversion"/>
  </si>
  <si>
    <t>`+ 물가 상승률 반영</t>
    <phoneticPr fontId="1" type="noConversion"/>
  </si>
  <si>
    <t>Nominal_1.5%</t>
  </si>
  <si>
    <t>Nominal_2.0%</t>
  </si>
  <si>
    <t>Nominal_3.0%</t>
  </si>
  <si>
    <r>
      <t xml:space="preserve">2031–2065 구간은 </t>
    </r>
    <r>
      <rPr>
        <b/>
        <sz val="11"/>
        <color theme="1"/>
        <rFont val="맑은 고딕"/>
        <family val="3"/>
        <charset val="129"/>
        <scheme val="minor"/>
      </rPr>
      <t>TFP·노동·자본축적</t>
    </r>
    <r>
      <rPr>
        <sz val="11"/>
        <color theme="1"/>
        <rFont val="맑은 고딕"/>
        <family val="2"/>
        <charset val="129"/>
        <scheme val="minor"/>
      </rPr>
      <t xml:space="preserve">으로 움직이는 </t>
    </r>
    <r>
      <rPr>
        <b/>
        <sz val="11"/>
        <color theme="1"/>
        <rFont val="맑은 고딕"/>
        <family val="3"/>
        <charset val="129"/>
        <scheme val="minor"/>
      </rPr>
      <t>“실질에 가까운” 성장 엔진</t>
    </r>
    <r>
      <rPr>
        <sz val="11"/>
        <color theme="1"/>
        <rFont val="맑은 고딕"/>
        <family val="2"/>
        <charset val="129"/>
        <scheme val="minor"/>
      </rPr>
      <t>을 사용(물가를 별도로 얹지 않음).</t>
    </r>
  </si>
  <si>
    <t>4) 불확실성과 민감도</t>
  </si>
  <si>
    <r>
      <t>자본감가(δ)</t>
    </r>
    <r>
      <rPr>
        <sz val="11"/>
        <color theme="1"/>
        <rFont val="맑은 고딕"/>
        <family val="2"/>
        <charset val="129"/>
        <scheme val="minor"/>
      </rPr>
      <t>, 초기 K/Y도 장기 경로에 영향</t>
    </r>
    <phoneticPr fontId="1" type="noConversion"/>
  </si>
  <si>
    <r>
      <t xml:space="preserve">또한 </t>
    </r>
    <r>
      <rPr>
        <b/>
        <sz val="11"/>
        <color theme="1"/>
        <rFont val="맑은 고딕"/>
        <family val="3"/>
        <charset val="129"/>
        <scheme val="minor"/>
      </rPr>
      <t>기준 연도</t>
    </r>
    <r>
      <rPr>
        <sz val="11"/>
        <color theme="1"/>
        <rFont val="맑은 고딕"/>
        <family val="2"/>
        <charset val="129"/>
        <scheme val="minor"/>
      </rPr>
      <t>(2030)가 다르면이후 레벨과 성장 프로파일이 달라짐</t>
    </r>
    <phoneticPr fontId="1" type="noConversion"/>
  </si>
  <si>
    <r>
      <t xml:space="preserve">TFP 성장률(g_A​)과 </t>
    </r>
    <r>
      <rPr>
        <b/>
        <sz val="11"/>
        <color theme="1"/>
        <rFont val="맑은 고딕"/>
        <family val="3"/>
        <charset val="129"/>
        <scheme val="minor"/>
      </rPr>
      <t>저축·투자율(s)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인구/노동(g_L​)</t>
    </r>
    <r>
      <rPr>
        <sz val="11"/>
        <color theme="1"/>
        <rFont val="맑은 고딕"/>
        <family val="2"/>
        <charset val="129"/>
        <scheme val="minor"/>
      </rPr>
      <t xml:space="preserve"> 가정에 따라 </t>
    </r>
    <r>
      <rPr>
        <b/>
        <sz val="11"/>
        <color theme="1"/>
        <rFont val="맑은 고딕"/>
        <family val="3"/>
        <charset val="129"/>
        <scheme val="minor"/>
      </rPr>
      <t>2065년 레벨 차이가 크게 벌어짐</t>
    </r>
    <r>
      <rPr>
        <sz val="11"/>
        <color theme="1"/>
        <rFont val="맑은 고딕"/>
        <family val="2"/>
        <charset val="129"/>
        <scheme val="minor"/>
      </rPr>
      <t>(Low~High의 2065 괴리 참고).</t>
    </r>
    <phoneticPr fontId="1" type="noConversion"/>
  </si>
  <si>
    <r>
      <t>원 데이터가 명목 GDP(원화 기준)로 보이므로</t>
    </r>
    <r>
      <rPr>
        <sz val="11"/>
        <color theme="1"/>
        <rFont val="맑은 고딕"/>
        <family val="2"/>
        <charset val="129"/>
        <scheme val="minor"/>
      </rPr>
      <t xml:space="preserve">, ‘명목 전망’을 원하면 2031년 이후 경로에 </t>
    </r>
    <r>
      <rPr>
        <b/>
        <sz val="11"/>
        <color theme="1"/>
        <rFont val="맑은 고딕"/>
        <family val="3"/>
        <charset val="129"/>
        <scheme val="minor"/>
      </rPr>
      <t>물가(예: GDP 디플레이터 또는 CPI) 시나리오</t>
    </r>
    <r>
      <rPr>
        <sz val="11"/>
        <color theme="1"/>
        <rFont val="맑은 고딕"/>
        <family val="2"/>
        <charset val="129"/>
        <scheme val="minor"/>
      </rPr>
      <t xml:space="preserve">를 추가로 얹을 필요가 있다. 반대로 ‘실질 전망’을 원하시면 1953–2024 구간을 </t>
    </r>
    <r>
      <rPr>
        <b/>
        <sz val="11"/>
        <color theme="1"/>
        <rFont val="맑은 고딕"/>
        <family val="3"/>
        <charset val="129"/>
        <scheme val="minor"/>
      </rPr>
      <t>실질로 디플레이트</t>
    </r>
    <r>
      <rPr>
        <sz val="11"/>
        <color theme="1"/>
        <rFont val="맑은 고딕"/>
        <family val="2"/>
        <charset val="129"/>
        <scheme val="minor"/>
      </rPr>
      <t>한 뒤 재적합하는 게 정석.</t>
    </r>
    <phoneticPr fontId="1" type="noConversion"/>
  </si>
  <si>
    <t>왜 2030 이후 성장률이 낮아졌는가?</t>
    <phoneticPr fontId="1" type="noConversion"/>
  </si>
  <si>
    <r>
      <t xml:space="preserve">2025–2030 구간은 </t>
    </r>
    <r>
      <rPr>
        <b/>
        <sz val="11"/>
        <color theme="1"/>
        <rFont val="맑은 고딕"/>
        <family val="3"/>
        <charset val="129"/>
        <scheme val="minor"/>
      </rPr>
      <t>ARIMA가 과거 “명목” 흐름(물가+실질 포함된 추세)을 추종.</t>
    </r>
    <phoneticPr fontId="1" type="noConversion"/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</si>
  <si>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인플레이션 가정이 없으므로</t>
    </r>
    <r>
      <rPr>
        <sz val="11"/>
        <color theme="1"/>
        <rFont val="맑은 고딕"/>
        <family val="2"/>
        <charset val="129"/>
        <scheme val="minor"/>
      </rPr>
      <t xml:space="preserve"> 장기 구간의 연평균 증가율이 </t>
    </r>
    <r>
      <rPr>
        <b/>
        <sz val="11"/>
        <color theme="1"/>
        <rFont val="맑은 고딕"/>
        <family val="3"/>
        <charset val="129"/>
        <scheme val="minor"/>
      </rPr>
      <t>상대적으로 낮게</t>
    </r>
    <r>
      <rPr>
        <sz val="11"/>
        <color theme="1"/>
        <rFont val="맑은 고딕"/>
        <family val="2"/>
        <charset val="129"/>
        <scheme val="minor"/>
      </rPr>
      <t xml:space="preserve"> 보임. (특히g_L&lt;0 가정의 인구 둔화 영향도 반영)</t>
    </r>
    <phoneticPr fontId="1" type="noConversion"/>
  </si>
  <si>
    <t>Nominal 1.5%: 물가상승률 1.5%</t>
    <phoneticPr fontId="1" type="noConversion"/>
  </si>
  <si>
    <t>Nominal 2.0%%: 물가상승률 2.0%</t>
    <phoneticPr fontId="1" type="noConversion"/>
  </si>
  <si>
    <t>Nominal 3.0%: 물가상승률 3.0%</t>
    <phoneticPr fontId="1" type="noConversion"/>
  </si>
  <si>
    <r>
      <t>Low / Base / High 시나리오</t>
    </r>
    <r>
      <rPr>
        <sz val="11"/>
        <color theme="1"/>
        <rFont val="맑은 고딕"/>
        <family val="2"/>
        <charset val="129"/>
        <scheme val="minor"/>
      </rPr>
      <t xml:space="preserve">는 </t>
    </r>
    <r>
      <rPr>
        <b/>
        <sz val="11"/>
        <color theme="1"/>
        <rFont val="맑은 고딕"/>
        <family val="3"/>
        <charset val="129"/>
        <scheme val="minor"/>
      </rPr>
      <t>장기 성장 경로의 불확실성</t>
    </r>
    <r>
      <rPr>
        <sz val="11"/>
        <color theme="1"/>
        <rFont val="맑은 고딕"/>
        <family val="2"/>
        <charset val="129"/>
        <scheme val="minor"/>
      </rPr>
      <t>을 반영하기 위해 설정한 “가정치의 범위</t>
    </r>
  </si>
  <si>
    <r>
      <t>저축·투자율(자본 축적)</t>
    </r>
    <r>
      <rPr>
        <sz val="11"/>
        <color theme="1"/>
        <rFont val="맑은 고딕"/>
        <family val="2"/>
        <charset val="129"/>
        <scheme val="minor"/>
      </rPr>
      <t>,</t>
    </r>
  </si>
  <si>
    <r>
      <t>총요소생산성(TFP) 성장률</t>
    </r>
    <r>
      <rPr>
        <sz val="11"/>
        <color theme="1"/>
        <rFont val="맑은 고딕"/>
        <family val="2"/>
        <charset val="129"/>
        <scheme val="minor"/>
      </rPr>
      <t>,</t>
    </r>
  </si>
  <si>
    <t>노동력 증가율(인구 전망)</t>
  </si>
  <si>
    <t>GDP를 40년 뒤(2065년)까지 예측할 때는 다음 항목을 고려</t>
    <phoneticPr fontId="1" type="noConversion"/>
  </si>
  <si>
    <t>Low (저성장 시나리오)</t>
  </si>
  <si>
    <t>저축률 낮음 (투자 적음 → 자본 축적 둔화)</t>
  </si>
  <si>
    <t>TFP 성장률 낮음 (기술혁신, 생산성 둔화)</t>
  </si>
  <si>
    <t>노동력 증가율도 낮거나 마이너스 (인구 감소)</t>
  </si>
  <si>
    <t>→ ⇒ 경제성장률이 낮게 유지됨</t>
  </si>
  <si>
    <r>
      <t xml:space="preserve">→ 2065년 GDP: 약 </t>
    </r>
    <r>
      <rPr>
        <b/>
        <sz val="11"/>
        <color theme="1"/>
        <rFont val="맑은 고딕"/>
        <family val="3"/>
        <charset val="129"/>
        <scheme val="minor"/>
      </rPr>
      <t>4,600조 원</t>
    </r>
  </si>
  <si>
    <t>Base (기준 시나리오)</t>
  </si>
  <si>
    <t>현재 추세가 유지된다고 가정</t>
  </si>
  <si>
    <t>중간 수준의 저축률·TFP 성장률·노동력 감소율 반영</t>
  </si>
  <si>
    <r>
      <t xml:space="preserve">→ 2065년 GDP: 약 </t>
    </r>
    <r>
      <rPr>
        <b/>
        <sz val="11"/>
        <color theme="1"/>
        <rFont val="맑은 고딕"/>
        <family val="3"/>
        <charset val="129"/>
        <scheme val="minor"/>
      </rPr>
      <t>6,900조 원</t>
    </r>
  </si>
  <si>
    <t>High (고성장 시나리오)</t>
  </si>
  <si>
    <t>저축률 높음 (투자 활발)</t>
  </si>
  <si>
    <t>TFP 성장률 높음 (혁신 빠름)</t>
  </si>
  <si>
    <t>노동력 유지 혹은 소폭 증가 (예: 이민, 출산율 반등)</t>
  </si>
  <si>
    <t>→ ⇒ 경제성장률이 높게 유지됨</t>
  </si>
  <si>
    <r>
      <t xml:space="preserve">→ 2065년 GDP: 약 </t>
    </r>
    <r>
      <rPr>
        <b/>
        <sz val="11"/>
        <color theme="1"/>
        <rFont val="맑은 고딕"/>
        <family val="3"/>
        <charset val="129"/>
        <scheme val="minor"/>
      </rPr>
      <t>10,200조 원</t>
    </r>
  </si>
  <si>
    <t>시점</t>
  </si>
  <si>
    <t>전체</t>
  </si>
  <si>
    <t>중위 추계(기본 추계: 출산율-중위 / 기대수명-중위 / 국제순이동-중위)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</si>
  <si>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</si>
  <si>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</si>
  <si>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</si>
  <si>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</si>
  <si>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</si>
  <si>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</si>
  <si>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</si>
  <si>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</si>
  <si>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</si>
  <si>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</si>
  <si>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</si>
  <si>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</si>
  <si>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</si>
  <si>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</si>
  <si>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</si>
  <si>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</si>
  <si>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</si>
  <si>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</si>
  <si>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</si>
  <si>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</si>
  <si>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</si>
  <si>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</si>
  <si>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</si>
  <si>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</si>
  <si>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</si>
  <si>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</si>
  <si>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</si>
  <si>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</si>
  <si>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</si>
  <si>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</si>
  <si>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</si>
  <si>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</si>
  <si>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</si>
  <si>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</si>
  <si>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</si>
  <si>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</si>
  <si>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</si>
  <si>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</si>
  <si>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</si>
  <si>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</si>
  <si>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</si>
  <si>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계(명)</t>
    <phoneticPr fontId="1" type="noConversion"/>
  </si>
  <si>
    <t>○ 통계표ID</t>
  </si>
  <si>
    <t>DT_1BPA001</t>
  </si>
  <si>
    <t>○ 통계표명</t>
  </si>
  <si>
    <t>성 및 연령별 추계인구(1세별, 5세별) / 전국</t>
  </si>
  <si>
    <t>○ 조회기간</t>
  </si>
  <si>
    <t xml:space="preserve">[년] 2025~2065  </t>
  </si>
  <si>
    <t>○ 출처</t>
  </si>
  <si>
    <t>「장래인구추계」, 통계청</t>
  </si>
  <si>
    <t>○ 자료다운일자</t>
  </si>
  <si>
    <t>2025.08.23 00:45</t>
  </si>
  <si>
    <t>○ 통계표URL</t>
  </si>
  <si>
    <t>https://kosis.kr/statHtml/statHtml.do?orgId=101&amp;tblId=DT_1BPA001&amp;conn_path=I3</t>
  </si>
  <si>
    <t/>
  </si>
  <si>
    <t>* KOSIS 개편 시 통계표 URL은 달라질 수 있음</t>
  </si>
  <si>
    <t>○ 주석</t>
  </si>
  <si>
    <t>통계표</t>
  </si>
  <si>
    <t>주1) 2023년 12월에 공표한 장래인구추계 자료임.</t>
  </si>
  <si>
    <t>주2) 매년 7월 1일 시점 자료임.</t>
  </si>
  <si>
    <t>주3) 작성대상 인구는 국적과 상관없이 대한민국에 상주하는 인구임.(외국인 포함)</t>
  </si>
  <si>
    <t>주4) 1960~2022년까지는 확정인구이며, 2023년 이후는 다음 인구추계시 변경될 수 있음.</t>
  </si>
  <si>
    <t>주5) 중위추계(기본추계)는 인구변동요인별(출생, 사망, 국제이동) 중위가정을 조합한 결과,</t>
  </si>
  <si>
    <t xml:space="preserve">       고위추계(최대인구 추계)는 인구변동요인별(출생, 사망, 국제이동) 고위가정을 조합한 결과,</t>
  </si>
  <si>
    <t xml:space="preserve">       저위추계(최소인구 추계)는 인구변동요인별(출생, 사망, 국제이동) 저위가정을 조합한 결과임.</t>
  </si>
  <si>
    <t>주6) 단위 : 명</t>
  </si>
  <si>
    <r>
      <t>실제 연평균 성장률 (2010→2024)</t>
    </r>
    <r>
      <rPr>
        <sz val="11"/>
        <color theme="1"/>
        <rFont val="맑은 고딕"/>
        <family val="2"/>
        <charset val="129"/>
        <scheme val="minor"/>
      </rPr>
      <t xml:space="preserve">: 약 </t>
    </r>
    <r>
      <rPr>
        <b/>
        <sz val="11"/>
        <color theme="1"/>
        <rFont val="맑은 고딕"/>
        <family val="3"/>
        <charset val="129"/>
        <scheme val="minor"/>
      </rPr>
      <t>4.51%/년</t>
    </r>
  </si>
  <si>
    <r>
      <t>솔로우 모형(Base 가정) 성장률 (2010→2024)</t>
    </r>
    <r>
      <rPr>
        <sz val="11"/>
        <color theme="1"/>
        <rFont val="맑은 고딕"/>
        <family val="2"/>
        <charset val="129"/>
        <scheme val="minor"/>
      </rPr>
      <t xml:space="preserve">: 약 </t>
    </r>
    <r>
      <rPr>
        <b/>
        <sz val="11"/>
        <color theme="1"/>
        <rFont val="맑은 고딕"/>
        <family val="3"/>
        <charset val="129"/>
        <scheme val="minor"/>
      </rPr>
      <t>2.30%/년</t>
    </r>
  </si>
  <si>
    <t>1) 솔로우 성장모형 타당성 (2010–2024)</t>
    <phoneticPr fontId="1" type="noConversion"/>
  </si>
  <si>
    <t>2) ARIMA 모형 평가지표</t>
    <phoneticPr fontId="1" type="noConversion"/>
  </si>
  <si>
    <r>
      <t>MAE (평균절대오차)</t>
    </r>
    <r>
      <rPr>
        <sz val="11"/>
        <color theme="1"/>
        <rFont val="맑은 고딕"/>
        <family val="2"/>
        <charset val="129"/>
        <scheme val="minor"/>
      </rPr>
      <t xml:space="preserve">: 약 </t>
    </r>
    <r>
      <rPr>
        <b/>
        <sz val="11"/>
        <color theme="1"/>
        <rFont val="맑은 고딕"/>
        <family val="3"/>
        <charset val="129"/>
        <scheme val="minor"/>
      </rPr>
      <t>161조 원</t>
    </r>
  </si>
  <si>
    <r>
      <t>RMSE (평균제곱근오차)</t>
    </r>
    <r>
      <rPr>
        <sz val="11"/>
        <color theme="1"/>
        <rFont val="맑은 고딕"/>
        <family val="2"/>
        <charset val="129"/>
        <scheme val="minor"/>
      </rPr>
      <t xml:space="preserve">: 약 </t>
    </r>
    <r>
      <rPr>
        <b/>
        <sz val="11"/>
        <color theme="1"/>
        <rFont val="맑은 고딕"/>
        <family val="3"/>
        <charset val="129"/>
        <scheme val="minor"/>
      </rPr>
      <t>189조 원</t>
    </r>
  </si>
  <si>
    <r>
      <t>MAPE (평균절대백분율오차)</t>
    </r>
    <r>
      <rPr>
        <sz val="11"/>
        <color theme="1"/>
        <rFont val="맑은 고딕"/>
        <family val="2"/>
        <charset val="129"/>
        <scheme val="minor"/>
      </rPr>
      <t xml:space="preserve">: 약 </t>
    </r>
    <r>
      <rPr>
        <b/>
        <sz val="11"/>
        <color theme="1"/>
        <rFont val="맑은 고딕"/>
        <family val="3"/>
        <charset val="129"/>
        <scheme val="minor"/>
      </rPr>
      <t>6.7%</t>
    </r>
  </si>
  <si>
    <t>최적 ARIMA 모형 반영 버전</t>
    <phoneticPr fontId="1" type="noConversion"/>
  </si>
  <si>
    <t>order</t>
  </si>
  <si>
    <t>AIC</t>
  </si>
  <si>
    <t>MAE</t>
  </si>
  <si>
    <t>RMSE</t>
  </si>
  <si>
    <t>MAPE(%)</t>
  </si>
  <si>
    <t>(2, 1, 1)</t>
  </si>
  <si>
    <t>(2, 1, 2)</t>
  </si>
  <si>
    <t>(1, 1, 2)</t>
  </si>
  <si>
    <t>(2, 1, 0)</t>
  </si>
  <si>
    <t>(1, 1, 1)</t>
  </si>
  <si>
    <t>(1, 1, 0)</t>
  </si>
  <si>
    <t>(0, 1, 2)</t>
  </si>
  <si>
    <t>(0, 1, 1)</t>
  </si>
  <si>
    <t>(0, 1, 0)</t>
  </si>
  <si>
    <t>차수 (p,d,q)</t>
  </si>
  <si>
    <t>MAE (원)</t>
  </si>
  <si>
    <t>RMSE (원)</t>
  </si>
  <si>
    <t>MAPE (%)</t>
  </si>
  <si>
    <t>(2,1,1)</t>
  </si>
  <si>
    <t>–170.9</t>
  </si>
  <si>
    <t>194조</t>
  </si>
  <si>
    <t>231조</t>
  </si>
  <si>
    <t>NaN</t>
  </si>
  <si>
    <t>(2,1,2)</t>
  </si>
  <si>
    <t>–170.8</t>
  </si>
  <si>
    <t>32조</t>
  </si>
  <si>
    <t>39조</t>
  </si>
  <si>
    <t>(1,1,2)</t>
  </si>
  <si>
    <t>–169.0</t>
  </si>
  <si>
    <t>199조</t>
  </si>
  <si>
    <t>236조</t>
  </si>
  <si>
    <t>(2,1,0)</t>
  </si>
  <si>
    <t>–167.4</t>
  </si>
  <si>
    <t>173조</t>
  </si>
  <si>
    <t>204조</t>
  </si>
  <si>
    <t>(1,1,1)</t>
  </si>
  <si>
    <t>–166.6</t>
  </si>
  <si>
    <t>161조</t>
  </si>
  <si>
    <t>189조</t>
  </si>
  <si>
    <r>
      <t>AIC 최소값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b/>
        <sz val="11"/>
        <color theme="1"/>
        <rFont val="맑은 고딕"/>
        <family val="3"/>
        <charset val="129"/>
        <scheme val="minor"/>
      </rPr>
      <t>ARIMA(2,1,1)</t>
    </r>
  </si>
  <si>
    <r>
      <t>MAE/RMSE 최소값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b/>
        <sz val="11"/>
        <color theme="1"/>
        <rFont val="맑은 고딕"/>
        <family val="3"/>
        <charset val="129"/>
        <scheme val="minor"/>
      </rPr>
      <t>ARIMA(2,1,2)</t>
    </r>
    <r>
      <rPr>
        <sz val="11"/>
        <color theme="1"/>
        <rFont val="맑은 고딕"/>
        <family val="2"/>
        <charset val="129"/>
        <scheme val="minor"/>
      </rPr>
      <t xml:space="preserve"> (예측 정확도 가장 높음)</t>
    </r>
  </si>
  <si>
    <r>
      <t>MAPE 값이 NaN</t>
    </r>
    <r>
      <rPr>
        <sz val="11"/>
        <color theme="1"/>
        <rFont val="맑은 고딕"/>
        <family val="2"/>
        <charset val="129"/>
        <scheme val="minor"/>
      </rPr>
      <t>으로 표시된 건, 값이 너무 큰 정수(조 단위 GDP)라 내부 계산에서 overflow가 발생했기 때문</t>
    </r>
    <phoneticPr fontId="1" type="noConversion"/>
  </si>
  <si>
    <t>→ 사실상 MAE·RMSE를 보면 **(2,1,2)**가 최적. (오차 약 30~40조 원 수준, GDP 대비 약 1.5% 내외)</t>
    <phoneticPr fontId="1" type="noConversion"/>
  </si>
  <si>
    <t>ARIMA_2025_2030</t>
  </si>
  <si>
    <t>Scenario_기준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</si>
</sst>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i/>
      <u/>
      <sz val="18"/>
      <color rgb="FFFF0000"/>
      <name val="맑은 고딕"/>
      <family val="3"/>
      <charset val="129"/>
      <scheme val="minor"/>
    </font>
    <font>
      <sz val="12"/>
      <color theme="1"/>
      <name val="Segoe UI"/>
      <family val="2"/>
    </font>
    <font>
      <b/>
      <i/>
      <u/>
      <sz val="2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>
      <alignment vertical="center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1" fontId="0" fillId="0" borderId="0" xfId="0" applyNumberForma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물가 상승 반영 </a:t>
            </a:r>
            <a:r>
              <a:rPr lang="en-US" altLang="ko-KR"/>
              <a:t>X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예상 2'!$B$2</c:f>
              <c:strCache>
                <c:ptCount val="1"/>
                <c:pt idx="0">
                  <c:v>예측치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예상 2'!$A$3:$A$43</c:f>
              <c:numCache>
                <c:formatCode>General</c:formatCode>
                <c:ptCount val="4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</c:numCache>
            </c:numRef>
          </c:cat>
          <c:val>
            <c:numRef>
              <c:f>'GDP 예상 2'!$B$3:$B$43</c:f>
              <c:numCache>
                <c:formatCode>General</c:formatCode>
                <c:ptCount val="41"/>
                <c:pt idx="0">
                  <c:v>2710908786592810</c:v>
                </c:pt>
                <c:pt idx="1">
                  <c:v>2873682711407340</c:v>
                </c:pt>
                <c:pt idx="2">
                  <c:v>3044487963097950</c:v>
                </c:pt>
                <c:pt idx="3">
                  <c:v>3222815780491770</c:v>
                </c:pt>
                <c:pt idx="4">
                  <c:v>3408283710440660</c:v>
                </c:pt>
                <c:pt idx="5">
                  <c:v>3600596266389910</c:v>
                </c:pt>
                <c:pt idx="6">
                  <c:v>3684958488996600</c:v>
                </c:pt>
                <c:pt idx="7">
                  <c:v>3769466258192480</c:v>
                </c:pt>
                <c:pt idx="8">
                  <c:v>3854174993514160</c:v>
                </c:pt>
                <c:pt idx="9">
                  <c:v>3939137211206050</c:v>
                </c:pt>
                <c:pt idx="10">
                  <c:v>4024402849587050</c:v>
                </c:pt>
                <c:pt idx="11">
                  <c:v>4110019552594190</c:v>
                </c:pt>
                <c:pt idx="12">
                  <c:v>4196032917954240</c:v>
                </c:pt>
                <c:pt idx="13">
                  <c:v>4282486715294450</c:v>
                </c:pt>
                <c:pt idx="14">
                  <c:v>4369423078589520</c:v>
                </c:pt>
                <c:pt idx="15">
                  <c:v>4456882676604930</c:v>
                </c:pt>
                <c:pt idx="16">
                  <c:v>4544904864397950</c:v>
                </c:pt>
                <c:pt idx="17">
                  <c:v>4633527818449230</c:v>
                </c:pt>
                <c:pt idx="18">
                  <c:v>4722788657597150</c:v>
                </c:pt>
                <c:pt idx="19">
                  <c:v>4812723551616370</c:v>
                </c:pt>
                <c:pt idx="20">
                  <c:v>4903367819008300</c:v>
                </c:pt>
                <c:pt idx="21">
                  <c:v>4994756015342990</c:v>
                </c:pt>
                <c:pt idx="22">
                  <c:v>5086922013301570</c:v>
                </c:pt>
                <c:pt idx="23">
                  <c:v>5179899075408110</c:v>
                </c:pt>
                <c:pt idx="24">
                  <c:v>5273719920305070</c:v>
                </c:pt>
                <c:pt idx="25">
                  <c:v>5368416783312170</c:v>
                </c:pt>
                <c:pt idx="26">
                  <c:v>5464021471912120</c:v>
                </c:pt>
                <c:pt idx="27">
                  <c:v>5560565416723370</c:v>
                </c:pt>
                <c:pt idx="28">
                  <c:v>5658079718450260</c:v>
                </c:pt>
                <c:pt idx="29">
                  <c:v>5756595191239830</c:v>
                </c:pt>
                <c:pt idx="30">
                  <c:v>5856142402822860</c:v>
                </c:pt>
                <c:pt idx="31">
                  <c:v>5956751711771660</c:v>
                </c:pt>
                <c:pt idx="32">
                  <c:v>6058453302168350</c:v>
                </c:pt>
                <c:pt idx="33">
                  <c:v>6161277215943620</c:v>
                </c:pt>
                <c:pt idx="34">
                  <c:v>6265253383116620</c:v>
                </c:pt>
                <c:pt idx="35">
                  <c:v>6370411650141310</c:v>
                </c:pt>
                <c:pt idx="36">
                  <c:v>6476781806541830</c:v>
                </c:pt>
                <c:pt idx="37">
                  <c:v>6584393610000390</c:v>
                </c:pt>
                <c:pt idx="38">
                  <c:v>6693276810043620</c:v>
                </c:pt>
                <c:pt idx="39">
                  <c:v>6803461170458260</c:v>
                </c:pt>
                <c:pt idx="40">
                  <c:v>6914976490554050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B-4C4B-A042-CC7B16C53CFB}"/>
            </c:ext>
          </c:extLst>
        </c:ser>
        <c:ser>
          <c:idx val="1"/>
          <c:order val="1"/>
          <c:tx>
            <c:strRef>
              <c:f>'GDP 예상 2'!$C$2</c:f>
              <c:strCache>
                <c:ptCount val="1"/>
                <c:pt idx="0">
                  <c:v>Scenario_Low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'GDP 예상 2'!$A$3:$A$43</c:f>
              <c:numCache>
                <c:formatCode>General</c:formatCode>
                <c:ptCount val="4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</c:numCache>
            </c:numRef>
          </c:cat>
          <c:val>
            <c:numRef>
              <c:f>'GDP 예상 2'!$C$3:$C$43</c:f>
              <c:numCache>
                <c:formatCode>General</c:formatCode>
                <c:ptCount val="41"/>
                <c:pt idx="0">
                  <c:v>3373517380753070</c:v>
                </c:pt>
                <c:pt idx="1">
                  <c:v>3421782625073930</c:v>
                </c:pt>
                <c:pt idx="2">
                  <c:v>3468539267448100</c:v>
                </c:pt>
                <c:pt idx="3">
                  <c:v>3513874547846940</c:v>
                </c:pt>
                <c:pt idx="4">
                  <c:v>3557868813618510</c:v>
                </c:pt>
                <c:pt idx="5">
                  <c:v>3600596266389910</c:v>
                </c:pt>
                <c:pt idx="6">
                  <c:v>3642125606092600</c:v>
                </c:pt>
                <c:pt idx="7">
                  <c:v>3682520589058260</c:v>
                </c:pt>
                <c:pt idx="8">
                  <c:v>3721840513919480</c:v>
                </c:pt>
                <c:pt idx="9">
                  <c:v>3760140646520170</c:v>
                </c:pt>
                <c:pt idx="10">
                  <c:v>3797472593034260</c:v>
                </c:pt>
                <c:pt idx="11">
                  <c:v>3833884628889320</c:v>
                </c:pt>
                <c:pt idx="12">
                  <c:v>3869421989803410</c:v>
                </c:pt>
                <c:pt idx="13">
                  <c:v>3904127130201440</c:v>
                </c:pt>
                <c:pt idx="14">
                  <c:v>3938039953429270</c:v>
                </c:pt>
                <c:pt idx="15">
                  <c:v>3971198017490000</c:v>
                </c:pt>
                <c:pt idx="16">
                  <c:v>4003636719455730</c:v>
                </c:pt>
                <c:pt idx="17">
                  <c:v>4035389461236330</c:v>
                </c:pt>
                <c:pt idx="18">
                  <c:v>4066487798994630</c:v>
                </c:pt>
                <c:pt idx="19">
                  <c:v>4096961578169910</c:v>
                </c:pt>
                <c:pt idx="20">
                  <c:v>4126839055797750</c:v>
                </c:pt>
                <c:pt idx="21">
                  <c:v>4156147011583120</c:v>
                </c:pt>
                <c:pt idx="22">
                  <c:v>4184910848988720</c:v>
                </c:pt>
                <c:pt idx="23">
                  <c:v>4213154687435130</c:v>
                </c:pt>
                <c:pt idx="24">
                  <c:v>4240901446568400</c:v>
                </c:pt>
                <c:pt idx="25">
                  <c:v>4268172923430790</c:v>
                </c:pt>
                <c:pt idx="26">
                  <c:v>4294989863266850</c:v>
                </c:pt>
                <c:pt idx="27">
                  <c:v>4321372024608680</c:v>
                </c:pt>
                <c:pt idx="28">
                  <c:v>4347338239207940</c:v>
                </c:pt>
                <c:pt idx="29">
                  <c:v>4372906467315670</c:v>
                </c:pt>
                <c:pt idx="30">
                  <c:v>4398093848754030</c:v>
                </c:pt>
                <c:pt idx="31">
                  <c:v>4422916750174200</c:v>
                </c:pt>
                <c:pt idx="32">
                  <c:v>4447390808850860</c:v>
                </c:pt>
                <c:pt idx="33">
                  <c:v>4471530973326230</c:v>
                </c:pt>
                <c:pt idx="34">
                  <c:v>4495351541182750</c:v>
                </c:pt>
                <c:pt idx="35">
                  <c:v>4518866194194850</c:v>
                </c:pt>
                <c:pt idx="36">
                  <c:v>4542088031083940</c:v>
                </c:pt>
                <c:pt idx="37">
                  <c:v>4565029598078400</c:v>
                </c:pt>
                <c:pt idx="38">
                  <c:v>4587702917460220</c:v>
                </c:pt>
                <c:pt idx="39">
                  <c:v>4610119514261970</c:v>
                </c:pt>
                <c:pt idx="40">
                  <c:v>4632290441262150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B-4C4B-A042-CC7B16C53CFB}"/>
            </c:ext>
          </c:extLst>
        </c:ser>
        <c:ser>
          <c:idx val="2"/>
          <c:order val="2"/>
          <c:tx>
            <c:strRef>
              <c:f>'GDP 예상 2'!$D$2</c:f>
              <c:strCache>
                <c:ptCount val="1"/>
                <c:pt idx="0">
                  <c:v>Scenario_High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'GDP 예상 2'!$A$3:$A$43</c:f>
              <c:numCache>
                <c:formatCode>General</c:formatCode>
                <c:ptCount val="4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</c:numCache>
            </c:numRef>
          </c:cat>
          <c:val>
            <c:numRef>
              <c:f>'GDP 예상 2'!$D$3:$D$43</c:f>
              <c:numCache>
                <c:formatCode>General</c:formatCode>
                <c:ptCount val="41"/>
                <c:pt idx="0">
                  <c:v>3008419642094250</c:v>
                </c:pt>
                <c:pt idx="1">
                  <c:v>3122732744061430</c:v>
                </c:pt>
                <c:pt idx="2">
                  <c:v>3238995569470410</c:v>
                </c:pt>
                <c:pt idx="3">
                  <c:v>3357320501383600</c:v>
                </c:pt>
                <c:pt idx="4">
                  <c:v>3477817819260050</c:v>
                </c:pt>
                <c:pt idx="5">
                  <c:v>3600596266389910</c:v>
                </c:pt>
                <c:pt idx="6">
                  <c:v>3725763537627990</c:v>
                </c:pt>
                <c:pt idx="7">
                  <c:v>3853426702371430</c:v>
                </c:pt>
                <c:pt idx="8">
                  <c:v>3983692574610340</c:v>
                </c:pt>
                <c:pt idx="9">
                  <c:v>4116668039490140</c:v>
                </c:pt>
                <c:pt idx="10">
                  <c:v>4252460343975200</c:v>
                </c:pt>
                <c:pt idx="11">
                  <c:v>4391177357760210</c:v>
                </c:pt>
                <c:pt idx="12">
                  <c:v>4532927809441380</c:v>
                </c:pt>
                <c:pt idx="13">
                  <c:v>4677821502061220</c:v>
                </c:pt>
                <c:pt idx="14">
                  <c:v>4825969511424610</c:v>
                </c:pt>
                <c:pt idx="15">
                  <c:v>4977484370008690</c:v>
                </c:pt>
                <c:pt idx="16">
                  <c:v>5132480238825950</c:v>
                </c:pt>
                <c:pt idx="17">
                  <c:v>5291073069222690</c:v>
                </c:pt>
                <c:pt idx="18">
                  <c:v>5453380756288260</c:v>
                </c:pt>
                <c:pt idx="19">
                  <c:v>5619523285298190</c:v>
                </c:pt>
                <c:pt idx="20">
                  <c:v>5789622872406930</c:v>
                </c:pt>
                <c:pt idx="21">
                  <c:v>5963804100633860</c:v>
                </c:pt>
                <c:pt idx="22">
                  <c:v>6142194052043580</c:v>
                </c:pt>
                <c:pt idx="23">
                  <c:v>6324922436902460</c:v>
                </c:pt>
                <c:pt idx="24">
                  <c:v>6512121720493370</c:v>
                </c:pt>
                <c:pt idx="25">
                  <c:v>6703927248187130</c:v>
                </c:pt>
                <c:pt idx="26">
                  <c:v>6900477369298470</c:v>
                </c:pt>
                <c:pt idx="27">
                  <c:v>7101913560194520</c:v>
                </c:pt>
                <c:pt idx="28">
                  <c:v>7308380547073650</c:v>
                </c:pt>
                <c:pt idx="29">
                  <c:v>7520026428789380</c:v>
                </c:pt>
                <c:pt idx="30">
                  <c:v>7737002800057680</c:v>
                </c:pt>
                <c:pt idx="31">
                  <c:v>7959464875355050</c:v>
                </c:pt>
                <c:pt idx="32">
                  <c:v>8187571613788100</c:v>
                </c:pt>
                <c:pt idx="33">
                  <c:v>8421485845193030</c:v>
                </c:pt>
                <c:pt idx="34">
                  <c:v>8661374397703820</c:v>
                </c:pt>
                <c:pt idx="35">
                  <c:v>8907408227011900</c:v>
                </c:pt>
                <c:pt idx="36">
                  <c:v>9159762547525710</c:v>
                </c:pt>
                <c:pt idx="37">
                  <c:v>9418616965626870</c:v>
                </c:pt>
                <c:pt idx="38">
                  <c:v>9684155615209570</c:v>
                </c:pt>
                <c:pt idx="39">
                  <c:v>9956567295681180</c:v>
                </c:pt>
                <c:pt idx="40" formatCode="0.00E+00">
                  <c:v>1.02360456125949E+16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B-4C4B-A042-CC7B16C53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914240"/>
        <c:axId val="1880914720"/>
      </c:lineChart>
      <c:catAx>
        <c:axId val="188091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0914720"/>
        <c:crosses val="autoZero"/>
        <c:auto val="1"/>
        <c:lblAlgn val="ctr"/>
        <c:lblOffset val="100"/>
        <c:noMultiLvlLbl val="0"/>
      </c:catAx>
      <c:valAx>
        <c:axId val="188091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091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물가 상승률 반영 예측 </a:t>
            </a:r>
            <a:r>
              <a:rPr lang="en-US" altLang="ko-KR"/>
              <a:t>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예상 2'!$B$46</c:f>
              <c:strCache>
                <c:ptCount val="1"/>
                <c:pt idx="0">
                  <c:v>Nominal_1.5%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예상 2'!$A$47:$A$87</c:f>
              <c:numCache>
                <c:formatCode>General</c:formatCode>
                <c:ptCount val="4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</c:numCache>
            </c:numRef>
          </c:cat>
          <c:val>
            <c:numRef>
              <c:f>'GDP 예상 2'!$B$47:$B$87</c:f>
              <c:numCache>
                <c:formatCode>General</c:formatCode>
                <c:ptCount val="41"/>
                <c:pt idx="0">
                  <c:v>2950728390885500</c:v>
                </c:pt>
                <c:pt idx="1">
                  <c:v>3074695589995840</c:v>
                </c:pt>
                <c:pt idx="2">
                  <c:v>3201535636055590</c:v>
                </c:pt>
                <c:pt idx="3">
                  <c:v>3331378778997740</c:v>
                </c:pt>
                <c:pt idx="4">
                  <c:v>3464355302775990</c:v>
                </c:pt>
                <c:pt idx="5">
                  <c:v>3600596000000000</c:v>
                </c:pt>
                <c:pt idx="6">
                  <c:v>3740232589610620</c:v>
                </c:pt>
                <c:pt idx="7">
                  <c:v>3883398088533330</c:v>
                </c:pt>
                <c:pt idx="8">
                  <c:v>4030227146007360</c:v>
                </c:pt>
                <c:pt idx="9">
                  <c:v>4180856347564270</c:v>
                </c:pt>
                <c:pt idx="10">
                  <c:v>4335424494290660</c:v>
                </c:pt>
                <c:pt idx="11">
                  <c:v>4494072861962900</c:v>
                </c:pt>
                <c:pt idx="12">
                  <c:v>4656945443816050</c:v>
                </c:pt>
                <c:pt idx="13">
                  <c:v>4824189180054690</c:v>
                </c:pt>
                <c:pt idx="14">
                  <c:v>4995954176690050</c:v>
                </c:pt>
                <c:pt idx="15">
                  <c:v>5172393915868070</c:v>
                </c:pt>
                <c:pt idx="16">
                  <c:v>5353665459513370</c:v>
                </c:pt>
                <c:pt idx="17">
                  <c:v>5539929647838990</c:v>
                </c:pt>
                <c:pt idx="18">
                  <c:v>5731351294046760</c:v>
                </c:pt>
                <c:pt idx="19">
                  <c:v>5928099376359110</c:v>
                </c:pt>
                <c:pt idx="20">
                  <c:v>6130347228371830</c:v>
                </c:pt>
                <c:pt idx="21">
                  <c:v>6338272728592250</c:v>
                </c:pt>
                <c:pt idx="22">
                  <c:v>6552058489923740</c:v>
                </c:pt>
                <c:pt idx="23">
                  <c:v>6771892049771690</c:v>
                </c:pt>
                <c:pt idx="24">
                  <c:v>6997966061374670</c:v>
                </c:pt>
                <c:pt idx="25">
                  <c:v>7230478486904740</c:v>
                </c:pt>
                <c:pt idx="26">
                  <c:v>7469632792831540</c:v>
                </c:pt>
                <c:pt idx="27">
                  <c:v>7715638148003160</c:v>
                </c:pt>
                <c:pt idx="28">
                  <c:v>7968709624862230</c:v>
                </c:pt>
                <c:pt idx="29">
                  <c:v>8229068404187210</c:v>
                </c:pt>
                <c:pt idx="30">
                  <c:v>8496941983724600</c:v>
                </c:pt>
                <c:pt idx="31">
                  <c:v>8772564391058510</c:v>
                </c:pt>
                <c:pt idx="32">
                  <c:v>9056176401047420</c:v>
                </c:pt>
                <c:pt idx="33">
                  <c:v>9348025758145240</c:v>
                </c:pt>
                <c:pt idx="34">
                  <c:v>9648367403912800</c:v>
                </c:pt>
                <c:pt idx="35">
                  <c:v>9957463710017900</c:v>
                </c:pt>
                <c:pt idx="36" formatCode="0.00E+00">
                  <c:v>1.02755847170155E+16</c:v>
                </c:pt>
                <c:pt idx="37" formatCode="0.00E+00">
                  <c:v>1.0603008379195E+16</c:v>
                </c:pt>
                <c:pt idx="38" formatCode="0.00E+00">
                  <c:v>1.09400208157782E+16</c:v>
                </c:pt>
                <c:pt idx="39" formatCode="0.00E+00">
                  <c:v>1.12869165687504E+16</c:v>
                </c:pt>
                <c:pt idx="40" formatCode="0.00E+00">
                  <c:v>1.1643998867605E+16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0-43A9-A829-92EC69CCBD7A}"/>
            </c:ext>
          </c:extLst>
        </c:ser>
        <c:ser>
          <c:idx val="1"/>
          <c:order val="1"/>
          <c:tx>
            <c:strRef>
              <c:f>'GDP 예상 2'!$C$46</c:f>
              <c:strCache>
                <c:ptCount val="1"/>
                <c:pt idx="0">
                  <c:v>Nominal_2.0%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'GDP 예상 2'!$A$47:$A$87</c:f>
              <c:numCache>
                <c:formatCode>General</c:formatCode>
                <c:ptCount val="4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</c:numCache>
            </c:numRef>
          </c:cat>
          <c:val>
            <c:numRef>
              <c:f>'GDP 예상 2'!$C$47:$C$87</c:f>
              <c:numCache>
                <c:formatCode>General</c:formatCode>
                <c:ptCount val="41"/>
                <c:pt idx="0">
                  <c:v>2879112186440770</c:v>
                </c:pt>
                <c:pt idx="1">
                  <c:v>3014849289482510</c:v>
                </c:pt>
                <c:pt idx="2">
                  <c:v>3154684643741090</c:v>
                </c:pt>
                <c:pt idx="3">
                  <c:v>3298798253165070</c:v>
                </c:pt>
                <c:pt idx="4">
                  <c:v>3447373168938860</c:v>
                </c:pt>
                <c:pt idx="5">
                  <c:v>3600596000000000</c:v>
                </c:pt>
                <c:pt idx="6">
                  <c:v>3758657380692450</c:v>
                </c:pt>
                <c:pt idx="7">
                  <c:v>3921752404872800</c:v>
                </c:pt>
                <c:pt idx="8">
                  <c:v>4090081033912730</c:v>
                </c:pt>
                <c:pt idx="9">
                  <c:v>4263848484601530</c:v>
                </c:pt>
                <c:pt idx="10">
                  <c:v>4443265601837660</c:v>
                </c:pt>
                <c:pt idx="11">
                  <c:v>4628549220128830</c:v>
                </c:pt>
                <c:pt idx="12">
                  <c:v>4819922517236900</c:v>
                </c:pt>
                <c:pt idx="13">
                  <c:v>5017615362764300</c:v>
                </c:pt>
                <c:pt idx="14">
                  <c:v>5221864664049760</c:v>
                </c:pt>
                <c:pt idx="15">
                  <c:v>5432914711398780</c:v>
                </c:pt>
                <c:pt idx="16">
                  <c:v>5651017524400040</c:v>
                </c:pt>
                <c:pt idx="17">
                  <c:v>5876433200857910</c:v>
                </c:pt>
                <c:pt idx="18">
                  <c:v>6109430269693760</c:v>
                </c:pt>
                <c:pt idx="19">
                  <c:v>6350286049024730</c:v>
                </c:pt>
                <c:pt idx="20">
                  <c:v>6599287010512790</c:v>
                </c:pt>
                <c:pt idx="21">
                  <c:v>6856729150983430</c:v>
                </c:pt>
                <c:pt idx="22">
                  <c:v>7122918372237810</c:v>
                </c:pt>
                <c:pt idx="23">
                  <c:v>7398170869922140</c:v>
                </c:pt>
                <c:pt idx="24">
                  <c:v>7682813532270260</c:v>
                </c:pt>
                <c:pt idx="25">
                  <c:v>7977184349497630</c:v>
                </c:pt>
                <c:pt idx="26">
                  <c:v>8281632834596590</c:v>
                </c:pt>
                <c:pt idx="27">
                  <c:v>8596520456260610</c:v>
                </c:pt>
                <c:pt idx="28">
                  <c:v>8922221084650410</c:v>
                </c:pt>
                <c:pt idx="29">
                  <c:v>9259121450704470</c:v>
                </c:pt>
                <c:pt idx="30">
                  <c:v>9607621619690860</c:v>
                </c:pt>
                <c:pt idx="31">
                  <c:v>9968135479696030</c:v>
                </c:pt>
                <c:pt idx="32" formatCode="0.00E+00">
                  <c:v>1.03410912457476E+16</c:v>
                </c:pt>
                <c:pt idx="33" formatCode="0.00E+00">
                  <c:v>1.07269319802742E+16</c:v>
                </c:pt>
                <c:pt idx="34" formatCode="0.00E+00">
                  <c:v>1.11261161306103E+16</c:v>
                </c:pt>
                <c:pt idx="35" formatCode="0.00E+00">
                  <c:v>1.15391180842693E+16</c:v>
                </c:pt>
                <c:pt idx="36" formatCode="0.00E+00">
                  <c:v>1.19664287427135E+16</c:v>
                </c:pt>
                <c:pt idx="37" formatCode="0.00E+00">
                  <c:v>1.24085561143706E+16</c:v>
                </c:pt>
                <c:pt idx="38" formatCode="0.00E+00">
                  <c:v>1.2866025927658E+16</c:v>
                </c:pt>
                <c:pt idx="39" formatCode="0.00E+00">
                  <c:v>1.33393822647964E+16</c:v>
                </c:pt>
                <c:pt idx="40" formatCode="0.00E+00">
                  <c:v>1.38291882172137E+16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0-43A9-A829-92EC69CCBD7A}"/>
            </c:ext>
          </c:extLst>
        </c:ser>
        <c:ser>
          <c:idx val="2"/>
          <c:order val="2"/>
          <c:tx>
            <c:strRef>
              <c:f>'GDP 예상 2'!$D$46</c:f>
              <c:strCache>
                <c:ptCount val="1"/>
                <c:pt idx="0">
                  <c:v>Nominal_3.0%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'GDP 예상 2'!$A$47:$A$87</c:f>
              <c:numCache>
                <c:formatCode>General</c:formatCode>
                <c:ptCount val="4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</c:numCache>
            </c:numRef>
          </c:cat>
          <c:val>
            <c:numRef>
              <c:f>'GDP 예상 2'!$D$47:$D$87</c:f>
              <c:numCache>
                <c:formatCode>General</c:formatCode>
                <c:ptCount val="41"/>
                <c:pt idx="0">
                  <c:v>2742037078011820</c:v>
                </c:pt>
                <c:pt idx="1">
                  <c:v>2899461825171330</c:v>
                </c:pt>
                <c:pt idx="2">
                  <c:v>3063689815859950</c:v>
                </c:pt>
                <c:pt idx="3">
                  <c:v>3235054861526010</c:v>
                </c:pt>
                <c:pt idx="4">
                  <c:v>3413903526521970</c:v>
                </c:pt>
                <c:pt idx="5">
                  <c:v>3600596000000000</c:v>
                </c:pt>
                <c:pt idx="6">
                  <c:v>3795506962856100</c:v>
                </c:pt>
                <c:pt idx="7">
                  <c:v>3999026457448630</c:v>
                </c:pt>
                <c:pt idx="8">
                  <c:v>4211560766545630</c:v>
                </c:pt>
                <c:pt idx="9">
                  <c:v>4433533306996500</c:v>
                </c:pt>
                <c:pt idx="10">
                  <c:v>4665385542897000</c:v>
                </c:pt>
                <c:pt idx="11">
                  <c:v>4907577922467270</c:v>
                </c:pt>
                <c:pt idx="12">
                  <c:v>5160590842448320</c:v>
                </c:pt>
                <c:pt idx="13">
                  <c:v>5424925643512090</c:v>
                </c:pt>
                <c:pt idx="14">
                  <c:v>5701105639952210</c:v>
                </c:pt>
                <c:pt idx="15">
                  <c:v>5989677186758470</c:v>
                </c:pt>
                <c:pt idx="16">
                  <c:v>6291210787065010</c:v>
                </c:pt>
                <c:pt idx="17">
                  <c:v>6606302242891670</c:v>
                </c:pt>
                <c:pt idx="18">
                  <c:v>6935573852059980</c:v>
                </c:pt>
                <c:pt idx="19">
                  <c:v>7279675654156680</c:v>
                </c:pt>
                <c:pt idx="20">
                  <c:v>7639286728431440</c:v>
                </c:pt>
                <c:pt idx="21">
                  <c:v>8015116546550300</c:v>
                </c:pt>
                <c:pt idx="22">
                  <c:v>8407906383178010</c:v>
                </c:pt>
                <c:pt idx="23">
                  <c:v>8818430787429620</c:v>
                </c:pt>
                <c:pt idx="24">
                  <c:v>9247499118312460</c:v>
                </c:pt>
                <c:pt idx="25">
                  <c:v>9695957147373050</c:v>
                </c:pt>
                <c:pt idx="26" formatCode="0.00E+00">
                  <c:v>1.01646887318682E+16</c:v>
                </c:pt>
                <c:pt idx="27" formatCode="0.00E+00">
                  <c:v>1.06546175618956E+16</c:v>
                </c:pt>
                <c:pt idx="28" formatCode="0.00E+00">
                  <c:v>1.1166708985044E+16</c:v>
                </c:pt>
                <c:pt idx="29" formatCode="0.00E+00">
                  <c:v>1.17019719122608E+16</c:v>
                </c:pt>
                <c:pt idx="30" formatCode="0.00E+00">
                  <c:v>1.22614608087791E+16</c:v>
                </c:pt>
                <c:pt idx="31" formatCode="0.00E+00">
                  <c:v>1.28462777741023E+16</c:v>
                </c:pt>
                <c:pt idx="32" formatCode="0.00E+00">
                  <c:v>1.34575747152087E+16</c:v>
                </c:pt>
                <c:pt idx="33" formatCode="0.00E+00">
                  <c:v>1.40965556173138E+16</c:v>
                </c:pt>
                <c:pt idx="34" formatCode="0.00E+00">
                  <c:v>1.47644789167119E+16</c:v>
                </c:pt>
                <c:pt idx="35" formatCode="0.00E+00">
                  <c:v>1.54626599804132E+16</c:v>
                </c:pt>
                <c:pt idx="36" formatCode="0.00E+00">
                  <c:v>1.61924736974966E+16</c:v>
                </c:pt>
                <c:pt idx="37" formatCode="0.00E+00">
                  <c:v>1.6955357187314E+16</c:v>
                </c:pt>
                <c:pt idx="38" formatCode="0.00E+00">
                  <c:v>1.77528126299065E+16</c:v>
                </c:pt>
                <c:pt idx="39" formatCode="0.00E+00">
                  <c:v>1.8586410224232E+16</c:v>
                </c:pt>
                <c:pt idx="40" formatCode="0.00E+00">
                  <c:v>1.94577912800481E+16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00-43A9-A829-92EC69CCB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366352"/>
        <c:axId val="1946366832"/>
      </c:lineChart>
      <c:catAx>
        <c:axId val="194636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6366832"/>
        <c:crosses val="autoZero"/>
        <c:auto val="1"/>
        <c:lblAlgn val="ctr"/>
        <c:lblOffset val="100"/>
        <c:noMultiLvlLbl val="0"/>
      </c:catAx>
      <c:valAx>
        <c:axId val="19463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636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9</xdr:col>
      <xdr:colOff>125505</xdr:colOff>
      <xdr:row>17</xdr:row>
      <xdr:rowOff>56589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BF98862-6E8F-34C6-EBBE-D9701578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9529" y="3182471"/>
          <a:ext cx="3543300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46264</xdr:colOff>
      <xdr:row>15</xdr:row>
      <xdr:rowOff>0</xdr:rowOff>
    </xdr:from>
    <xdr:to>
      <xdr:col>1</xdr:col>
      <xdr:colOff>255814</xdr:colOff>
      <xdr:row>16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4C62EA-9840-F049-7EF3-7953A942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5014" y="3061607"/>
          <a:ext cx="209550" cy="2041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54429</xdr:colOff>
      <xdr:row>0</xdr:row>
      <xdr:rowOff>54429</xdr:rowOff>
    </xdr:from>
    <xdr:to>
      <xdr:col>16</xdr:col>
      <xdr:colOff>283029</xdr:colOff>
      <xdr:row>18</xdr:row>
      <xdr:rowOff>133364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CD4A289-4921-B46B-EFC2-76C43453B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1393" y="54429"/>
          <a:ext cx="7712529" cy="3752864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</xdr:colOff>
      <xdr:row>18</xdr:row>
      <xdr:rowOff>190499</xdr:rowOff>
    </xdr:from>
    <xdr:to>
      <xdr:col>16</xdr:col>
      <xdr:colOff>315685</xdr:colOff>
      <xdr:row>37</xdr:row>
      <xdr:rowOff>163299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D3AAA90-94AD-BC4E-AABA-E2B6C962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4178" y="3864428"/>
          <a:ext cx="7772400" cy="38508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17317</xdr:colOff>
      <xdr:row>34</xdr:row>
      <xdr:rowOff>1</xdr:rowOff>
    </xdr:from>
    <xdr:to>
      <xdr:col>23</xdr:col>
      <xdr:colOff>263977</xdr:colOff>
      <xdr:row>56</xdr:row>
      <xdr:rowOff>173082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87AC4AB-609A-9CCE-82A8-0613ACD4F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5772" y="7065819"/>
          <a:ext cx="7866660" cy="4745081"/>
        </a:xfrm>
        <a:prstGeom prst="rect">
          <a:avLst/>
        </a:prstGeom>
      </xdr:spPr>
    </xdr:pic>
    <xdr:clientData/>
  </xdr:twoCellAnchor>
  <xdr:twoCellAnchor>
    <xdr:from>
      <xdr:col>23</xdr:col>
      <xdr:colOff>263112</xdr:colOff>
      <xdr:row>33</xdr:row>
      <xdr:rowOff>175904</xdr:rowOff>
    </xdr:from>
    <xdr:to>
      <xdr:col>33</xdr:col>
      <xdr:colOff>174666</xdr:colOff>
      <xdr:row>57</xdr:row>
      <xdr:rowOff>60614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4F8695B-50B2-F932-1CA4-BA3C7D011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15459</xdr:colOff>
      <xdr:row>56</xdr:row>
      <xdr:rowOff>199407</xdr:rowOff>
    </xdr:from>
    <xdr:to>
      <xdr:col>23</xdr:col>
      <xdr:colOff>355269</xdr:colOff>
      <xdr:row>79</xdr:row>
      <xdr:rowOff>43296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B27A99A-EB57-EB66-B8BC-2F2BBCA80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147205</xdr:colOff>
      <xdr:row>8</xdr:row>
      <xdr:rowOff>14845</xdr:rowOff>
    </xdr:from>
    <xdr:to>
      <xdr:col>17</xdr:col>
      <xdr:colOff>435676</xdr:colOff>
      <xdr:row>30</xdr:row>
      <xdr:rowOff>191637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2139DE-FD86-67E8-E32D-9C909F596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2569" y="1885209"/>
          <a:ext cx="7908471" cy="4748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11324171/" TargetMode="External"/><Relationship Id="rId2" Type="http://schemas.openxmlformats.org/officeDocument/2006/relationships/hyperlink" Target="https://synapse.koreamed.org/articles/1093405" TargetMode="External"/><Relationship Id="rId1" Type="http://schemas.openxmlformats.org/officeDocument/2006/relationships/hyperlink" Target="https://pubmed.ncbi.nlm.nih.gov/16312908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mohw.go.kr/board.es?act=view&amp;bid=0027&amp;list_no=1480186&amp;mid=a10503010100&amp;nPage=1&amp;tag=&amp;utm_source=chatgpt.com" TargetMode="External"/><Relationship Id="rId1" Type="http://schemas.openxmlformats.org/officeDocument/2006/relationships/hyperlink" Target="https://pmc.ncbi.nlm.nih.gov/articles/PMC11865876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ctorstimes.com/news/articleView.html?idxno=23126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30D2-A1B3-4C05-AA17-9F2B71BD56FA}">
  <dimension ref="A1:U81"/>
  <sheetViews>
    <sheetView zoomScale="70" zoomScaleNormal="70" workbookViewId="0">
      <selection activeCell="C9" sqref="C9"/>
    </sheetView>
  </sheetViews>
  <sheetFormatPr defaultRowHeight="17.399999999999999"/>
  <cols>
    <col min="1" max="1" width="16.19921875" customWidth="1"/>
    <col min="2" max="2" width="21" customWidth="1"/>
    <col min="3" max="3" width="26.19921875" customWidth="1"/>
    <col min="4" max="4" width="54.59765625" customWidth="1"/>
    <col min="20" max="20" width="17.59765625" customWidth="1"/>
    <col min="21" max="21" width="31.09765625" customWidth="1"/>
  </cols>
  <sheetData>
    <row r="1" spans="1:21">
      <c r="A1" t="s">
        <v>0</v>
      </c>
    </row>
    <row r="2" spans="1:21">
      <c r="A2" t="s">
        <v>2</v>
      </c>
    </row>
    <row r="3" spans="1:21">
      <c r="A3" s="11" t="s">
        <v>1</v>
      </c>
      <c r="S3" t="s">
        <v>101</v>
      </c>
    </row>
    <row r="4" spans="1:21">
      <c r="A4" s="2"/>
      <c r="S4" t="s">
        <v>102</v>
      </c>
    </row>
    <row r="5" spans="1:21" ht="21" customHeight="1">
      <c r="A5" s="4" t="s">
        <v>3</v>
      </c>
      <c r="B5" s="4" t="s">
        <v>4</v>
      </c>
      <c r="C5" s="4" t="s">
        <v>5</v>
      </c>
      <c r="D5" s="4" t="s">
        <v>6</v>
      </c>
    </row>
    <row r="6" spans="1:21" ht="19.5" customHeight="1">
      <c r="A6" s="5" t="s">
        <v>7</v>
      </c>
      <c r="B6" s="5" t="s">
        <v>8</v>
      </c>
      <c r="C6" s="5" t="s">
        <v>9</v>
      </c>
      <c r="D6" s="5" t="s">
        <v>10</v>
      </c>
      <c r="E6" s="6" t="s">
        <v>23</v>
      </c>
      <c r="S6" s="4" t="s">
        <v>29</v>
      </c>
      <c r="T6" s="7" t="s">
        <v>103</v>
      </c>
      <c r="U6" s="7" t="s">
        <v>104</v>
      </c>
    </row>
    <row r="7" spans="1:21">
      <c r="A7" s="5" t="s">
        <v>11</v>
      </c>
      <c r="B7" s="5" t="s">
        <v>12</v>
      </c>
      <c r="C7" s="5" t="s">
        <v>13</v>
      </c>
      <c r="D7" s="5" t="s">
        <v>14</v>
      </c>
      <c r="E7" s="6" t="s">
        <v>24</v>
      </c>
      <c r="S7" s="5">
        <v>2005</v>
      </c>
      <c r="T7" s="8">
        <v>60100</v>
      </c>
      <c r="U7" s="8">
        <v>52300</v>
      </c>
    </row>
    <row r="8" spans="1:21">
      <c r="A8" s="5" t="s">
        <v>15</v>
      </c>
      <c r="B8" s="5" t="s">
        <v>16</v>
      </c>
      <c r="C8" s="5" t="s">
        <v>17</v>
      </c>
      <c r="D8" s="5" t="s">
        <v>18</v>
      </c>
      <c r="S8" s="5">
        <v>2010</v>
      </c>
      <c r="T8" s="8">
        <v>75300</v>
      </c>
      <c r="U8" s="8">
        <v>65500</v>
      </c>
    </row>
    <row r="9" spans="1:21" ht="18.75" customHeight="1">
      <c r="A9" s="5" t="s">
        <v>19</v>
      </c>
      <c r="B9" s="5" t="s">
        <v>20</v>
      </c>
      <c r="C9" s="5" t="s">
        <v>21</v>
      </c>
      <c r="D9" s="5" t="s">
        <v>22</v>
      </c>
      <c r="S9" s="5">
        <v>2015</v>
      </c>
      <c r="T9" s="8">
        <v>89200</v>
      </c>
      <c r="U9" s="8">
        <v>77600</v>
      </c>
    </row>
    <row r="10" spans="1:21">
      <c r="S10" s="5">
        <v>2020</v>
      </c>
      <c r="T10" s="8">
        <v>103300</v>
      </c>
      <c r="U10" s="8">
        <v>89900</v>
      </c>
    </row>
    <row r="11" spans="1:21">
      <c r="S11" s="5">
        <v>2025</v>
      </c>
      <c r="T11" s="8">
        <v>119318</v>
      </c>
      <c r="U11" s="8">
        <v>103800</v>
      </c>
    </row>
    <row r="12" spans="1:21" ht="27.6">
      <c r="A12" s="5" t="s">
        <v>25</v>
      </c>
      <c r="B12" t="s">
        <v>26</v>
      </c>
      <c r="E12" s="6" t="s">
        <v>27</v>
      </c>
      <c r="S12" s="5">
        <v>2030</v>
      </c>
      <c r="T12" s="8">
        <v>124000</v>
      </c>
      <c r="U12" s="8">
        <v>107900</v>
      </c>
    </row>
    <row r="13" spans="1:21">
      <c r="S13" s="5">
        <v>2035</v>
      </c>
      <c r="T13" s="8">
        <v>150493</v>
      </c>
      <c r="U13" s="8">
        <v>131900</v>
      </c>
    </row>
    <row r="14" spans="1:21">
      <c r="A14" s="11" t="s">
        <v>28</v>
      </c>
      <c r="B14" s="9"/>
      <c r="C14" s="9"/>
      <c r="D14" s="9"/>
      <c r="S14" s="5">
        <v>2040</v>
      </c>
      <c r="T14" s="8">
        <v>156000</v>
      </c>
      <c r="U14" s="8">
        <v>135700</v>
      </c>
    </row>
    <row r="15" spans="1:21">
      <c r="A15" s="4" t="s">
        <v>29</v>
      </c>
      <c r="B15" s="4" t="s">
        <v>30</v>
      </c>
      <c r="C15" s="4" t="s">
        <v>31</v>
      </c>
      <c r="D15" s="4" t="s">
        <v>32</v>
      </c>
      <c r="S15" s="5">
        <v>2045</v>
      </c>
      <c r="T15" s="8">
        <v>161000</v>
      </c>
      <c r="U15" s="8">
        <v>140100</v>
      </c>
    </row>
    <row r="16" spans="1:21">
      <c r="A16" s="3">
        <v>2000</v>
      </c>
      <c r="B16" s="10">
        <v>54050</v>
      </c>
      <c r="C16" s="10">
        <v>50120</v>
      </c>
      <c r="D16" s="10">
        <v>46650</v>
      </c>
      <c r="S16" s="5">
        <v>2050</v>
      </c>
      <c r="T16" s="8">
        <v>166000</v>
      </c>
      <c r="U16" s="8">
        <v>144400</v>
      </c>
    </row>
    <row r="17" spans="1:21">
      <c r="A17" s="3">
        <v>2001</v>
      </c>
      <c r="B17" s="10">
        <v>56483</v>
      </c>
      <c r="C17" s="10">
        <v>52405</v>
      </c>
      <c r="D17" s="10">
        <v>48802</v>
      </c>
      <c r="S17" s="5">
        <v>2055</v>
      </c>
      <c r="T17" s="8">
        <v>168500</v>
      </c>
      <c r="U17" s="8">
        <v>146600</v>
      </c>
    </row>
    <row r="18" spans="1:21">
      <c r="A18" s="3">
        <v>2002</v>
      </c>
      <c r="B18" s="10">
        <v>58892</v>
      </c>
      <c r="C18" s="10">
        <v>54656</v>
      </c>
      <c r="D18" s="10">
        <v>50912</v>
      </c>
      <c r="S18" s="5">
        <v>2060</v>
      </c>
      <c r="T18" s="8">
        <v>171000</v>
      </c>
      <c r="U18" s="8">
        <v>148800</v>
      </c>
    </row>
    <row r="19" spans="1:21">
      <c r="A19" s="3">
        <v>2003</v>
      </c>
      <c r="B19" s="10">
        <v>61277</v>
      </c>
      <c r="C19" s="10">
        <v>56872</v>
      </c>
      <c r="D19" s="10">
        <v>52979</v>
      </c>
      <c r="E19" t="s">
        <v>34</v>
      </c>
      <c r="S19" s="5">
        <v>2065</v>
      </c>
      <c r="T19" s="8">
        <v>173500</v>
      </c>
      <c r="U19" s="8">
        <v>151000</v>
      </c>
    </row>
    <row r="20" spans="1:21">
      <c r="A20" s="3">
        <v>2004</v>
      </c>
      <c r="B20" s="10">
        <v>63499</v>
      </c>
      <c r="C20" s="10">
        <v>58917</v>
      </c>
      <c r="D20" s="10">
        <v>54866</v>
      </c>
    </row>
    <row r="21" spans="1:21">
      <c r="A21" s="3">
        <v>2005</v>
      </c>
      <c r="B21" s="10">
        <v>65424</v>
      </c>
      <c r="C21" s="10">
        <v>60694</v>
      </c>
      <c r="D21" s="10">
        <v>56508</v>
      </c>
      <c r="E21" t="s">
        <v>35</v>
      </c>
    </row>
    <row r="22" spans="1:21">
      <c r="A22" s="3">
        <v>2006</v>
      </c>
      <c r="B22" s="10">
        <v>67294</v>
      </c>
      <c r="C22" s="10">
        <v>62409</v>
      </c>
      <c r="D22" s="10">
        <v>58082</v>
      </c>
    </row>
    <row r="23" spans="1:21">
      <c r="A23" s="3">
        <v>2007</v>
      </c>
      <c r="B23" s="10">
        <v>69016</v>
      </c>
      <c r="C23" s="10">
        <v>63968</v>
      </c>
      <c r="D23" s="10">
        <v>59495</v>
      </c>
      <c r="E23" t="s">
        <v>36</v>
      </c>
    </row>
    <row r="24" spans="1:21">
      <c r="A24" s="3">
        <v>2008</v>
      </c>
      <c r="B24" s="10">
        <v>71763</v>
      </c>
      <c r="C24" s="10">
        <v>66546</v>
      </c>
      <c r="D24" s="10">
        <v>61921</v>
      </c>
    </row>
    <row r="25" spans="1:21">
      <c r="A25" s="3">
        <v>2009</v>
      </c>
      <c r="B25" s="10">
        <v>74105</v>
      </c>
      <c r="C25" s="10">
        <v>68709</v>
      </c>
      <c r="D25" s="10">
        <v>63921</v>
      </c>
      <c r="E25" t="s">
        <v>37</v>
      </c>
    </row>
    <row r="26" spans="1:21">
      <c r="A26" s="3">
        <v>2010</v>
      </c>
      <c r="B26" s="10">
        <v>76138</v>
      </c>
      <c r="C26" s="10">
        <v>70552</v>
      </c>
      <c r="D26" s="10">
        <v>65596</v>
      </c>
    </row>
    <row r="27" spans="1:21">
      <c r="A27" s="3">
        <v>2011</v>
      </c>
      <c r="B27" s="10">
        <v>78022</v>
      </c>
      <c r="C27" s="10">
        <v>72240</v>
      </c>
      <c r="D27" s="10">
        <v>67108</v>
      </c>
      <c r="E27" t="s">
        <v>33</v>
      </c>
    </row>
    <row r="28" spans="1:21">
      <c r="A28" s="3">
        <v>2012</v>
      </c>
      <c r="B28" s="10">
        <v>79999</v>
      </c>
      <c r="C28" s="10">
        <v>74015</v>
      </c>
      <c r="D28" s="10">
        <v>68703</v>
      </c>
    </row>
    <row r="29" spans="1:21">
      <c r="A29" s="3">
        <v>2013</v>
      </c>
      <c r="B29" s="10">
        <v>81781</v>
      </c>
      <c r="C29" s="10">
        <v>75587</v>
      </c>
      <c r="D29" s="10">
        <v>70090</v>
      </c>
      <c r="E29" s="12" t="s">
        <v>38</v>
      </c>
    </row>
    <row r="30" spans="1:21">
      <c r="A30" s="3">
        <v>2014</v>
      </c>
      <c r="B30" s="10">
        <v>83713</v>
      </c>
      <c r="C30" s="10">
        <v>77304</v>
      </c>
      <c r="D30" s="10">
        <v>71617</v>
      </c>
    </row>
    <row r="31" spans="1:21">
      <c r="A31" s="3">
        <v>2015</v>
      </c>
      <c r="B31" s="10">
        <v>85551</v>
      </c>
      <c r="C31" s="10">
        <v>78920</v>
      </c>
      <c r="D31" s="10">
        <v>73039</v>
      </c>
      <c r="E31" t="s">
        <v>39</v>
      </c>
    </row>
    <row r="32" spans="1:21">
      <c r="A32" s="3">
        <v>2016</v>
      </c>
      <c r="B32" s="10">
        <v>87351</v>
      </c>
      <c r="C32" s="10">
        <v>80493</v>
      </c>
      <c r="D32" s="10">
        <v>74413</v>
      </c>
      <c r="E32" s="1"/>
    </row>
    <row r="33" spans="1:5">
      <c r="A33" s="3">
        <v>2017</v>
      </c>
      <c r="B33" s="10">
        <v>89123</v>
      </c>
      <c r="C33" s="10">
        <v>82031</v>
      </c>
      <c r="D33" s="10">
        <v>75749</v>
      </c>
      <c r="E33" s="1" t="s">
        <v>40</v>
      </c>
    </row>
    <row r="34" spans="1:5">
      <c r="A34" s="3">
        <v>2018</v>
      </c>
      <c r="B34" s="10">
        <v>90985</v>
      </c>
      <c r="C34" s="10">
        <v>83655</v>
      </c>
      <c r="D34" s="10">
        <v>77167</v>
      </c>
      <c r="E34" t="s">
        <v>41</v>
      </c>
    </row>
    <row r="35" spans="1:5">
      <c r="A35" s="3">
        <v>2019</v>
      </c>
      <c r="B35" s="10">
        <v>92740</v>
      </c>
      <c r="C35" s="10">
        <v>85165</v>
      </c>
      <c r="D35" s="10">
        <v>78468</v>
      </c>
      <c r="E35" t="s">
        <v>43</v>
      </c>
    </row>
    <row r="36" spans="1:5">
      <c r="A36" s="3">
        <v>2020</v>
      </c>
      <c r="B36" s="10">
        <v>94388</v>
      </c>
      <c r="C36" s="10">
        <v>86564</v>
      </c>
      <c r="D36" s="10">
        <v>79653</v>
      </c>
    </row>
    <row r="37" spans="1:5">
      <c r="A37" s="3">
        <v>2021</v>
      </c>
      <c r="B37" s="10">
        <v>93406</v>
      </c>
      <c r="C37" s="10">
        <v>85328</v>
      </c>
      <c r="D37" s="10">
        <v>78201</v>
      </c>
      <c r="E37" t="s">
        <v>44</v>
      </c>
    </row>
    <row r="38" spans="1:5">
      <c r="A38" s="3">
        <v>2022</v>
      </c>
      <c r="B38" s="10">
        <v>97808</v>
      </c>
      <c r="C38" s="10">
        <v>89484</v>
      </c>
      <c r="D38" s="10">
        <v>82152</v>
      </c>
    </row>
    <row r="39" spans="1:5">
      <c r="A39" s="3">
        <v>2023</v>
      </c>
      <c r="B39" s="10">
        <v>99560</v>
      </c>
      <c r="C39" s="10">
        <v>90974</v>
      </c>
      <c r="D39" s="10">
        <v>83419</v>
      </c>
      <c r="E39" t="s">
        <v>45</v>
      </c>
    </row>
    <row r="40" spans="1:5">
      <c r="A40" s="3">
        <v>2024</v>
      </c>
      <c r="B40" s="10">
        <v>101160</v>
      </c>
      <c r="C40" s="10">
        <v>92305</v>
      </c>
      <c r="D40" s="10">
        <v>84524</v>
      </c>
    </row>
    <row r="41" spans="1:5">
      <c r="A41" s="3">
        <v>2025</v>
      </c>
      <c r="B41" s="10">
        <v>99742</v>
      </c>
      <c r="C41" s="10">
        <v>90665</v>
      </c>
      <c r="D41" s="10">
        <v>82696</v>
      </c>
      <c r="E41" t="s">
        <v>46</v>
      </c>
    </row>
    <row r="42" spans="1:5">
      <c r="A42" s="3">
        <v>2026</v>
      </c>
      <c r="B42" s="10">
        <v>101169</v>
      </c>
      <c r="C42" s="10">
        <v>91881</v>
      </c>
      <c r="D42" s="10">
        <v>83736</v>
      </c>
    </row>
    <row r="43" spans="1:5">
      <c r="A43" s="3">
        <v>2027</v>
      </c>
      <c r="B43" s="10">
        <v>102582</v>
      </c>
      <c r="C43" s="10">
        <v>93078</v>
      </c>
      <c r="D43" s="10">
        <v>84755</v>
      </c>
      <c r="E43" t="s">
        <v>42</v>
      </c>
    </row>
    <row r="44" spans="1:5">
      <c r="A44" s="3">
        <v>2028</v>
      </c>
      <c r="B44" s="10">
        <v>103981</v>
      </c>
      <c r="C44" s="10">
        <v>94258</v>
      </c>
      <c r="D44" s="10">
        <v>85753</v>
      </c>
    </row>
    <row r="45" spans="1:5">
      <c r="A45" s="3">
        <v>2029</v>
      </c>
      <c r="B45" s="10">
        <v>105366</v>
      </c>
      <c r="C45" s="10">
        <v>95420</v>
      </c>
      <c r="D45" s="10">
        <v>86732</v>
      </c>
      <c r="E45" t="s">
        <v>48</v>
      </c>
    </row>
    <row r="46" spans="1:5">
      <c r="A46" s="3">
        <v>2030</v>
      </c>
      <c r="B46" s="10">
        <v>106738</v>
      </c>
      <c r="C46" s="10">
        <v>96564</v>
      </c>
      <c r="D46" s="10">
        <v>87691</v>
      </c>
      <c r="E46" s="1"/>
    </row>
    <row r="47" spans="1:5">
      <c r="A47" s="3">
        <v>2031</v>
      </c>
      <c r="B47" s="10">
        <v>109695</v>
      </c>
      <c r="C47" s="10">
        <v>99292</v>
      </c>
      <c r="D47" s="10">
        <v>90231</v>
      </c>
      <c r="E47" s="1" t="s">
        <v>49</v>
      </c>
    </row>
    <row r="48" spans="1:5">
      <c r="A48" s="3">
        <v>2032</v>
      </c>
      <c r="B48" s="10">
        <v>112623</v>
      </c>
      <c r="C48" s="10">
        <v>101978</v>
      </c>
      <c r="D48" s="10">
        <v>92720</v>
      </c>
      <c r="E48" s="1"/>
    </row>
    <row r="49" spans="1:6">
      <c r="A49" s="3">
        <v>2033</v>
      </c>
      <c r="B49" s="10">
        <v>115521</v>
      </c>
      <c r="C49" s="10">
        <v>104624</v>
      </c>
      <c r="D49" s="10">
        <v>95159</v>
      </c>
      <c r="E49" s="1" t="s">
        <v>50</v>
      </c>
    </row>
    <row r="50" spans="1:6">
      <c r="A50" s="3">
        <v>2034</v>
      </c>
      <c r="B50" s="10">
        <v>118391</v>
      </c>
      <c r="C50" s="10">
        <v>107231</v>
      </c>
      <c r="D50" s="10">
        <v>97549</v>
      </c>
      <c r="E50" s="1"/>
    </row>
    <row r="51" spans="1:6">
      <c r="A51" s="3">
        <v>2035</v>
      </c>
      <c r="B51" s="10">
        <v>121232</v>
      </c>
      <c r="C51" s="10">
        <v>109798</v>
      </c>
      <c r="D51" s="10">
        <v>99892</v>
      </c>
      <c r="E51" s="1" t="s">
        <v>47</v>
      </c>
      <c r="F51" s="1" t="s">
        <v>51</v>
      </c>
    </row>
    <row r="52" spans="1:6">
      <c r="A52" s="3">
        <v>2036</v>
      </c>
      <c r="B52" s="10">
        <v>124044</v>
      </c>
      <c r="C52" s="10">
        <v>112327</v>
      </c>
      <c r="D52" s="10">
        <v>102188</v>
      </c>
      <c r="E52" s="1"/>
    </row>
    <row r="53" spans="1:6">
      <c r="A53" s="3">
        <v>2037</v>
      </c>
      <c r="B53" s="10">
        <v>126097</v>
      </c>
      <c r="C53" s="10">
        <v>114250</v>
      </c>
      <c r="D53" s="10">
        <v>103997</v>
      </c>
    </row>
    <row r="54" spans="1:6">
      <c r="A54" s="3">
        <v>2038</v>
      </c>
      <c r="B54" s="10">
        <v>128083</v>
      </c>
      <c r="C54" s="10">
        <v>116102</v>
      </c>
      <c r="D54" s="10">
        <v>105739</v>
      </c>
    </row>
    <row r="55" spans="1:6">
      <c r="A55" s="3">
        <v>2039</v>
      </c>
      <c r="B55" s="10">
        <v>130003</v>
      </c>
      <c r="C55" s="10">
        <v>117883</v>
      </c>
      <c r="D55" s="10">
        <v>107415</v>
      </c>
    </row>
    <row r="56" spans="1:6">
      <c r="A56" s="3">
        <v>2040</v>
      </c>
      <c r="B56" s="10">
        <v>131858</v>
      </c>
      <c r="C56" s="10">
        <v>119597</v>
      </c>
      <c r="D56" s="10">
        <v>109029</v>
      </c>
    </row>
    <row r="57" spans="1:6">
      <c r="A57" s="3">
        <v>2041</v>
      </c>
      <c r="B57" s="10">
        <v>133648</v>
      </c>
      <c r="C57" s="10">
        <v>121244</v>
      </c>
      <c r="D57" s="10">
        <v>110580</v>
      </c>
    </row>
    <row r="58" spans="1:6">
      <c r="A58" s="3">
        <v>2042</v>
      </c>
      <c r="B58" s="10">
        <v>135375</v>
      </c>
      <c r="C58" s="10">
        <v>122827</v>
      </c>
      <c r="D58" s="10">
        <v>112073</v>
      </c>
    </row>
    <row r="59" spans="1:6">
      <c r="A59" s="3">
        <v>2043</v>
      </c>
      <c r="B59" s="10">
        <v>137038</v>
      </c>
      <c r="C59" s="10">
        <v>124347</v>
      </c>
      <c r="D59" s="10">
        <v>113508</v>
      </c>
    </row>
    <row r="60" spans="1:6">
      <c r="A60" s="3">
        <v>2044</v>
      </c>
      <c r="B60" s="10">
        <v>138640</v>
      </c>
      <c r="C60" s="10">
        <v>125806</v>
      </c>
      <c r="D60" s="10">
        <v>114886</v>
      </c>
    </row>
    <row r="61" spans="1:6">
      <c r="A61" s="3">
        <v>2045</v>
      </c>
      <c r="B61" s="10">
        <v>140181</v>
      </c>
      <c r="C61" s="10">
        <v>127205</v>
      </c>
      <c r="D61" s="10">
        <v>116209</v>
      </c>
    </row>
    <row r="62" spans="1:6">
      <c r="A62" s="3">
        <v>2046</v>
      </c>
      <c r="B62" s="10">
        <v>141664</v>
      </c>
      <c r="C62" s="10">
        <v>128547</v>
      </c>
      <c r="D62" s="10">
        <v>117480</v>
      </c>
    </row>
    <row r="63" spans="1:6">
      <c r="A63" s="3">
        <v>2047</v>
      </c>
      <c r="B63" s="10">
        <v>143088</v>
      </c>
      <c r="C63" s="10">
        <v>129831</v>
      </c>
      <c r="D63" s="10">
        <v>118699</v>
      </c>
    </row>
    <row r="64" spans="1:6">
      <c r="A64" s="3">
        <v>2048</v>
      </c>
      <c r="B64" s="10">
        <v>144456</v>
      </c>
      <c r="C64" s="10">
        <v>131061</v>
      </c>
      <c r="D64" s="10">
        <v>119868</v>
      </c>
    </row>
    <row r="65" spans="1:4">
      <c r="A65" s="3">
        <v>2049</v>
      </c>
      <c r="B65" s="10">
        <v>145768</v>
      </c>
      <c r="C65" s="10">
        <v>132236</v>
      </c>
      <c r="D65" s="10">
        <v>120989</v>
      </c>
    </row>
    <row r="66" spans="1:4">
      <c r="A66" s="3">
        <v>2050</v>
      </c>
      <c r="B66" s="10">
        <v>147027</v>
      </c>
      <c r="C66" s="10">
        <v>133361</v>
      </c>
      <c r="D66" s="10">
        <v>122062</v>
      </c>
    </row>
    <row r="67" spans="1:4">
      <c r="A67" s="3">
        <v>2051</v>
      </c>
      <c r="B67" s="10">
        <v>148235</v>
      </c>
      <c r="C67" s="10">
        <v>134436</v>
      </c>
      <c r="D67" s="10">
        <v>123090</v>
      </c>
    </row>
    <row r="68" spans="1:4">
      <c r="A68" s="3">
        <v>2052</v>
      </c>
      <c r="B68" s="10">
        <v>149392</v>
      </c>
      <c r="C68" s="10">
        <v>135465</v>
      </c>
      <c r="D68" s="10">
        <v>124073</v>
      </c>
    </row>
    <row r="69" spans="1:4">
      <c r="A69" s="3">
        <v>2053</v>
      </c>
      <c r="B69" s="10">
        <v>150501</v>
      </c>
      <c r="C69" s="10">
        <v>136449</v>
      </c>
      <c r="D69" s="10">
        <v>125013</v>
      </c>
    </row>
    <row r="70" spans="1:4">
      <c r="A70" s="3">
        <v>2054</v>
      </c>
      <c r="B70" s="10">
        <v>151562</v>
      </c>
      <c r="C70" s="10">
        <v>137390</v>
      </c>
      <c r="D70" s="10">
        <v>125910</v>
      </c>
    </row>
    <row r="71" spans="1:4">
      <c r="A71" s="3">
        <v>2055</v>
      </c>
      <c r="B71" s="10">
        <v>152577</v>
      </c>
      <c r="C71" s="10">
        <v>138290</v>
      </c>
      <c r="D71" s="10">
        <v>126766</v>
      </c>
    </row>
    <row r="72" spans="1:4">
      <c r="A72" s="3">
        <v>2056</v>
      </c>
      <c r="B72" s="10">
        <v>153548</v>
      </c>
      <c r="C72" s="10">
        <v>139150</v>
      </c>
      <c r="D72" s="10">
        <v>127582</v>
      </c>
    </row>
    <row r="73" spans="1:4">
      <c r="A73" s="3">
        <v>2057</v>
      </c>
      <c r="B73" s="10">
        <v>154475</v>
      </c>
      <c r="C73" s="10">
        <v>139973</v>
      </c>
      <c r="D73" s="10">
        <v>128358</v>
      </c>
    </row>
    <row r="74" spans="1:4">
      <c r="A74" s="3">
        <v>2058</v>
      </c>
      <c r="B74" s="10">
        <v>154915</v>
      </c>
      <c r="C74" s="10">
        <v>140296</v>
      </c>
      <c r="D74" s="10">
        <v>128652</v>
      </c>
    </row>
    <row r="75" spans="1:4">
      <c r="A75" s="3">
        <v>2059</v>
      </c>
      <c r="B75" s="10">
        <v>155527</v>
      </c>
      <c r="C75" s="10">
        <v>140784</v>
      </c>
      <c r="D75" s="10">
        <v>129083</v>
      </c>
    </row>
    <row r="76" spans="1:4">
      <c r="A76" s="3">
        <v>2060</v>
      </c>
      <c r="B76" s="10">
        <v>156304</v>
      </c>
      <c r="C76" s="10">
        <v>141430</v>
      </c>
      <c r="D76" s="10">
        <v>129649</v>
      </c>
    </row>
    <row r="77" spans="1:4">
      <c r="A77" s="3">
        <v>2061</v>
      </c>
      <c r="B77" s="10">
        <v>157238</v>
      </c>
      <c r="C77" s="10">
        <v>142226</v>
      </c>
      <c r="D77" s="10">
        <v>130346</v>
      </c>
    </row>
    <row r="78" spans="1:4">
      <c r="A78" s="3">
        <v>2062</v>
      </c>
      <c r="B78" s="10">
        <v>158318</v>
      </c>
      <c r="C78" s="10">
        <v>143164</v>
      </c>
      <c r="D78" s="10">
        <v>131168</v>
      </c>
    </row>
    <row r="79" spans="1:4">
      <c r="A79" s="3">
        <v>2063</v>
      </c>
      <c r="B79" s="10">
        <v>159536</v>
      </c>
      <c r="C79" s="10">
        <v>144235</v>
      </c>
      <c r="D79" s="10">
        <v>132109</v>
      </c>
    </row>
    <row r="80" spans="1:4">
      <c r="A80" s="3">
        <v>2064</v>
      </c>
      <c r="B80" s="10">
        <v>160883</v>
      </c>
      <c r="C80" s="10">
        <v>145431</v>
      </c>
      <c r="D80" s="10">
        <v>133163</v>
      </c>
    </row>
    <row r="81" spans="1:4">
      <c r="A81" s="3">
        <v>2065</v>
      </c>
      <c r="B81" s="10">
        <v>162352</v>
      </c>
      <c r="C81" s="10">
        <v>146743</v>
      </c>
      <c r="D81" s="10">
        <v>134323</v>
      </c>
    </row>
  </sheetData>
  <phoneticPr fontId="1" type="noConversion"/>
  <hyperlinks>
    <hyperlink ref="E6" r:id="rId1" display="https://pubmed.ncbi.nlm.nih.gov/16312908/" xr:uid="{E73610C6-24F7-4AD0-9EBC-84922152189B}"/>
    <hyperlink ref="E7" r:id="rId2" display="https://synapse.koreamed.org/articles/1093405" xr:uid="{B6E52B12-ED9A-457B-8BB9-C382780B5901}"/>
    <hyperlink ref="E12" r:id="rId3" display="https://pmc.ncbi.nlm.nih.gov/articles/PMC11324171/" xr:uid="{76AB144B-A9E8-4B18-BD4B-B54965CFE5A4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C84C-23DD-41D6-A5F5-6471F3C29791}">
  <dimension ref="A1:E53"/>
  <sheetViews>
    <sheetView topLeftCell="A10" zoomScale="70" zoomScaleNormal="70" workbookViewId="0">
      <selection activeCell="C15" sqref="C15"/>
    </sheetView>
  </sheetViews>
  <sheetFormatPr defaultRowHeight="17.399999999999999"/>
  <cols>
    <col min="1" max="1" width="18.69921875" customWidth="1"/>
    <col min="2" max="2" width="32.5" customWidth="1"/>
    <col min="3" max="3" width="41.19921875" customWidth="1"/>
    <col min="4" max="4" width="26.5" customWidth="1"/>
  </cols>
  <sheetData>
    <row r="1" spans="1:4">
      <c r="A1" t="s">
        <v>52</v>
      </c>
      <c r="C1" t="s">
        <v>94</v>
      </c>
      <c r="D1" s="6" t="s">
        <v>92</v>
      </c>
    </row>
    <row r="2" spans="1:4">
      <c r="A2" t="s">
        <v>54</v>
      </c>
    </row>
    <row r="3" spans="1:4">
      <c r="A3" t="s">
        <v>53</v>
      </c>
      <c r="D3" t="s">
        <v>93</v>
      </c>
    </row>
    <row r="6" spans="1:4">
      <c r="A6" t="s">
        <v>57</v>
      </c>
    </row>
    <row r="7" spans="1:4">
      <c r="A7" t="s">
        <v>55</v>
      </c>
    </row>
    <row r="8" spans="1:4">
      <c r="A8" t="s">
        <v>56</v>
      </c>
    </row>
    <row r="10" spans="1:4">
      <c r="A10" t="s">
        <v>58</v>
      </c>
    </row>
    <row r="11" spans="1:4">
      <c r="A11" t="s">
        <v>59</v>
      </c>
    </row>
    <row r="12" spans="1:4">
      <c r="A12" t="s">
        <v>60</v>
      </c>
    </row>
    <row r="13" spans="1:4">
      <c r="A13" t="s">
        <v>61</v>
      </c>
    </row>
    <row r="16" spans="1:4">
      <c r="A16" t="s">
        <v>62</v>
      </c>
    </row>
    <row r="18" spans="1:2">
      <c r="A18" t="s">
        <v>63</v>
      </c>
    </row>
    <row r="20" spans="1:2">
      <c r="A20" t="s">
        <v>64</v>
      </c>
    </row>
    <row r="22" spans="1:2">
      <c r="A22" t="s">
        <v>65</v>
      </c>
    </row>
    <row r="25" spans="1:2">
      <c r="A25" t="s">
        <v>66</v>
      </c>
    </row>
    <row r="26" spans="1:2">
      <c r="A26" t="s">
        <v>67</v>
      </c>
    </row>
    <row r="27" spans="1:2">
      <c r="A27" t="s">
        <v>68</v>
      </c>
    </row>
    <row r="28" spans="1:2">
      <c r="B28" s="2" t="s">
        <v>69</v>
      </c>
    </row>
    <row r="29" spans="1:2">
      <c r="B29" s="2" t="s">
        <v>70</v>
      </c>
    </row>
    <row r="30" spans="1:2">
      <c r="A30" t="s">
        <v>71</v>
      </c>
    </row>
    <row r="32" spans="1:2">
      <c r="A32" t="s">
        <v>72</v>
      </c>
    </row>
    <row r="33" spans="1:5">
      <c r="A33" t="s">
        <v>73</v>
      </c>
    </row>
    <row r="34" spans="1:5">
      <c r="A34" t="s">
        <v>74</v>
      </c>
      <c r="B34" s="2" t="s">
        <v>75</v>
      </c>
    </row>
    <row r="35" spans="1:5">
      <c r="B35" s="2" t="s">
        <v>76</v>
      </c>
    </row>
    <row r="36" spans="1:5">
      <c r="B36" s="2" t="s">
        <v>77</v>
      </c>
    </row>
    <row r="38" spans="1:5">
      <c r="A38" t="s">
        <v>88</v>
      </c>
      <c r="E38" s="6" t="s">
        <v>95</v>
      </c>
    </row>
    <row r="39" spans="1:5" ht="17.25" customHeight="1">
      <c r="A39" t="s">
        <v>89</v>
      </c>
      <c r="B39" t="s">
        <v>90</v>
      </c>
    </row>
    <row r="40" spans="1:5" ht="16.5" customHeight="1">
      <c r="B40" t="s">
        <v>91</v>
      </c>
    </row>
    <row r="45" spans="1:5">
      <c r="A45" s="4" t="s">
        <v>78</v>
      </c>
      <c r="B45" s="4" t="s">
        <v>79</v>
      </c>
      <c r="C45" s="4" t="s">
        <v>80</v>
      </c>
      <c r="D45" s="4" t="s">
        <v>81</v>
      </c>
    </row>
    <row r="46" spans="1:5">
      <c r="A46" s="3" t="s">
        <v>82</v>
      </c>
      <c r="B46" s="3">
        <v>0</v>
      </c>
      <c r="C46" s="3">
        <v>0</v>
      </c>
      <c r="D46" s="13">
        <v>141193</v>
      </c>
    </row>
    <row r="47" spans="1:5">
      <c r="A47" s="3" t="s">
        <v>83</v>
      </c>
      <c r="B47" s="3">
        <v>1</v>
      </c>
      <c r="C47" s="10">
        <v>1860</v>
      </c>
      <c r="D47" s="13">
        <v>143053</v>
      </c>
    </row>
    <row r="48" spans="1:5">
      <c r="A48" s="3" t="s">
        <v>84</v>
      </c>
      <c r="B48" s="3">
        <v>2</v>
      </c>
      <c r="C48" s="10">
        <v>3720</v>
      </c>
      <c r="D48" s="13">
        <v>144913</v>
      </c>
    </row>
    <row r="49" spans="1:4">
      <c r="A49" s="3" t="s">
        <v>85</v>
      </c>
      <c r="B49" s="3">
        <v>3</v>
      </c>
      <c r="C49" s="10">
        <v>5580</v>
      </c>
      <c r="D49" s="13">
        <v>146773</v>
      </c>
    </row>
    <row r="50" spans="1:4">
      <c r="A50" s="3" t="s">
        <v>86</v>
      </c>
      <c r="B50" s="3">
        <v>4</v>
      </c>
      <c r="C50" s="10">
        <v>7440</v>
      </c>
      <c r="D50" s="13">
        <v>148633</v>
      </c>
    </row>
    <row r="51" spans="1:4">
      <c r="A51" s="3" t="s">
        <v>87</v>
      </c>
      <c r="B51" s="3">
        <v>5</v>
      </c>
      <c r="C51" s="10">
        <v>9300</v>
      </c>
      <c r="D51" s="13">
        <v>150493</v>
      </c>
    </row>
    <row r="53" spans="1:4">
      <c r="A53" s="14"/>
    </row>
  </sheetData>
  <phoneticPr fontId="1" type="noConversion"/>
  <hyperlinks>
    <hyperlink ref="D1" r:id="rId1" display="https://pmc.ncbi.nlm.nih.gov/articles/PMC11865876/?utm_source=chatgpt.com" xr:uid="{CC45BABD-8AF7-4747-AF0B-C91849909437}"/>
    <hyperlink ref="E38" r:id="rId2" display="https://www.mohw.go.kr/board.es?act=view&amp;bid=0027&amp;list_no=1480186&amp;mid=a10503010100&amp;nPage=1&amp;tag=&amp;utm_source=chatgpt.com" xr:uid="{E361CA76-D324-4982-AA0F-472C61A0E6B9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758E-E3B2-49A5-8FDA-A15656EDC9BE}">
  <dimension ref="A1:H16"/>
  <sheetViews>
    <sheetView zoomScale="70" zoomScaleNormal="70" workbookViewId="0">
      <selection activeCell="H10" sqref="H10"/>
    </sheetView>
  </sheetViews>
  <sheetFormatPr defaultRowHeight="17.399999999999999"/>
  <sheetData>
    <row r="1" spans="1:8">
      <c r="A1" t="s">
        <v>96</v>
      </c>
    </row>
    <row r="3" spans="1:8" ht="19.2">
      <c r="A3" s="15" t="s">
        <v>97</v>
      </c>
    </row>
    <row r="4" spans="1:8" ht="19.2">
      <c r="A4" s="16" t="s">
        <v>98</v>
      </c>
    </row>
    <row r="5" spans="1:8" ht="19.2">
      <c r="A5" s="15" t="s">
        <v>99</v>
      </c>
    </row>
    <row r="8" spans="1:8" ht="33">
      <c r="A8" s="17" t="s">
        <v>107</v>
      </c>
    </row>
    <row r="9" spans="1:8" ht="19.2">
      <c r="A9" s="18" t="s">
        <v>100</v>
      </c>
    </row>
    <row r="10" spans="1:8" ht="19.2">
      <c r="A10" s="18" t="s">
        <v>105</v>
      </c>
      <c r="H10" s="6" t="s">
        <v>111</v>
      </c>
    </row>
    <row r="11" spans="1:8" ht="19.2">
      <c r="A11" s="18" t="s">
        <v>106</v>
      </c>
    </row>
    <row r="14" spans="1:8" ht="19.2">
      <c r="A14" s="18" t="s">
        <v>108</v>
      </c>
    </row>
    <row r="15" spans="1:8" ht="19.2">
      <c r="A15" s="18" t="s">
        <v>109</v>
      </c>
    </row>
    <row r="16" spans="1:8" ht="19.2">
      <c r="A16" s="18" t="s">
        <v>110</v>
      </c>
    </row>
  </sheetData>
  <phoneticPr fontId="1" type="noConversion"/>
  <hyperlinks>
    <hyperlink ref="H10" r:id="rId1" display="http://www.doctorstimes.com/news/articleView.html?idxno=231268" xr:uid="{595120CC-FEFB-4158-BE93-72EEFF2DE06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1B3F-CD8D-4C32-941E-F54D12AA6A4D}">
  <dimension ref="A1:A13"/>
  <sheetViews>
    <sheetView zoomScale="70" zoomScaleNormal="70" workbookViewId="0">
      <selection activeCell="A10" sqref="A10"/>
    </sheetView>
  </sheetViews>
  <sheetFormatPr defaultRowHeight="17.399999999999999"/>
  <sheetData>
    <row r="1" spans="1:1">
      <c r="A1" t="s">
        <v>120</v>
      </c>
    </row>
    <row r="4" spans="1:1">
      <c r="A4" s="2" t="s">
        <v>112</v>
      </c>
    </row>
    <row r="6" spans="1:1">
      <c r="A6" t="s">
        <v>113</v>
      </c>
    </row>
    <row r="7" spans="1:1">
      <c r="A7" t="s">
        <v>114</v>
      </c>
    </row>
    <row r="8" spans="1:1">
      <c r="A8" t="s">
        <v>115</v>
      </c>
    </row>
    <row r="9" spans="1:1">
      <c r="A9" t="s">
        <v>116</v>
      </c>
    </row>
    <row r="10" spans="1:1">
      <c r="A10" s="1"/>
    </row>
    <row r="11" spans="1:1">
      <c r="A11" t="s">
        <v>117</v>
      </c>
    </row>
    <row r="12" spans="1:1">
      <c r="A12" t="s">
        <v>118</v>
      </c>
    </row>
    <row r="13" spans="1:1">
      <c r="A13" t="s">
        <v>119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D7BD-FA8B-4C76-B314-2A997EE86429}">
  <dimension ref="A1:F114"/>
  <sheetViews>
    <sheetView zoomScaleNormal="100" workbookViewId="0">
      <selection activeCell="E43" sqref="E43"/>
    </sheetView>
  </sheetViews>
  <sheetFormatPr defaultRowHeight="17.399999999999999"/>
  <cols>
    <col min="2" max="2" width="12.69921875" customWidth="1"/>
    <col min="3" max="3" width="16.09765625" customWidth="1"/>
    <col min="4" max="5" width="18.09765625" customWidth="1"/>
  </cols>
  <sheetData>
    <row r="1" spans="1:5">
      <c r="A1" t="s">
        <v>121</v>
      </c>
      <c r="B1" t="s">
        <v>122</v>
      </c>
      <c r="C1" t="s">
        <v>124</v>
      </c>
      <c r="D1" t="s">
        <v>123</v>
      </c>
      <c r="E1" t="s">
        <v>125</v>
      </c>
    </row>
    <row r="2" spans="1:5">
      <c r="A2">
        <v>1953</v>
      </c>
      <c r="B2">
        <v>47740000000</v>
      </c>
      <c r="C2">
        <f>B2/1000</f>
        <v>47740000</v>
      </c>
      <c r="D2">
        <f>B2/10000</f>
        <v>4774000</v>
      </c>
      <c r="E2">
        <f>B2/100000</f>
        <v>477400</v>
      </c>
    </row>
    <row r="3" spans="1:5">
      <c r="A3">
        <v>1954</v>
      </c>
      <c r="B3">
        <v>66380000000</v>
      </c>
      <c r="C3">
        <f t="shared" ref="C3:C66" si="0">B3/1000</f>
        <v>66380000</v>
      </c>
      <c r="D3">
        <f t="shared" ref="D3:D66" si="1">B3/10000</f>
        <v>6638000</v>
      </c>
      <c r="E3">
        <f t="shared" ref="E3:E66" si="2">B3/100000</f>
        <v>663800</v>
      </c>
    </row>
    <row r="4" spans="1:5">
      <c r="A4">
        <v>1955</v>
      </c>
      <c r="B4" s="19">
        <v>114000000000</v>
      </c>
      <c r="C4">
        <f t="shared" si="0"/>
        <v>114000000</v>
      </c>
      <c r="D4">
        <f t="shared" si="1"/>
        <v>11400000</v>
      </c>
      <c r="E4">
        <f t="shared" si="2"/>
        <v>1140000</v>
      </c>
    </row>
    <row r="5" spans="1:5">
      <c r="A5">
        <v>1956</v>
      </c>
      <c r="B5" s="19">
        <v>152000000000</v>
      </c>
      <c r="C5">
        <f t="shared" si="0"/>
        <v>152000000</v>
      </c>
      <c r="D5">
        <f t="shared" si="1"/>
        <v>15200000</v>
      </c>
      <c r="E5">
        <f t="shared" si="2"/>
        <v>1520000</v>
      </c>
    </row>
    <row r="6" spans="1:5">
      <c r="A6">
        <v>1957</v>
      </c>
      <c r="B6" s="19">
        <v>199000000000</v>
      </c>
      <c r="C6">
        <f t="shared" si="0"/>
        <v>199000000</v>
      </c>
      <c r="D6">
        <f t="shared" si="1"/>
        <v>19900000</v>
      </c>
      <c r="E6">
        <f t="shared" si="2"/>
        <v>1990000</v>
      </c>
    </row>
    <row r="7" spans="1:5">
      <c r="A7">
        <v>1958</v>
      </c>
      <c r="B7" s="19">
        <v>208000000000</v>
      </c>
      <c r="C7">
        <f t="shared" si="0"/>
        <v>208000000</v>
      </c>
      <c r="D7">
        <f t="shared" si="1"/>
        <v>20800000</v>
      </c>
      <c r="E7">
        <f t="shared" si="2"/>
        <v>2080000</v>
      </c>
    </row>
    <row r="8" spans="1:5">
      <c r="A8">
        <v>1959</v>
      </c>
      <c r="B8" s="19">
        <v>222000000000</v>
      </c>
      <c r="C8">
        <f t="shared" si="0"/>
        <v>222000000</v>
      </c>
      <c r="D8">
        <f t="shared" si="1"/>
        <v>22200000</v>
      </c>
      <c r="E8">
        <f t="shared" si="2"/>
        <v>2220000</v>
      </c>
    </row>
    <row r="9" spans="1:5">
      <c r="A9">
        <v>1960</v>
      </c>
      <c r="B9" s="19">
        <v>251000000000</v>
      </c>
      <c r="C9">
        <f t="shared" si="0"/>
        <v>251000000</v>
      </c>
      <c r="D9">
        <f t="shared" si="1"/>
        <v>25100000</v>
      </c>
      <c r="E9">
        <f t="shared" si="2"/>
        <v>2510000</v>
      </c>
    </row>
    <row r="10" spans="1:5">
      <c r="A10">
        <v>1961</v>
      </c>
      <c r="B10" s="19">
        <v>303000000000</v>
      </c>
      <c r="C10">
        <f t="shared" si="0"/>
        <v>303000000</v>
      </c>
      <c r="D10">
        <f t="shared" si="1"/>
        <v>30300000</v>
      </c>
      <c r="E10">
        <f t="shared" si="2"/>
        <v>3030000</v>
      </c>
    </row>
    <row r="11" spans="1:5">
      <c r="A11">
        <v>1962</v>
      </c>
      <c r="B11" s="19">
        <v>368000000000</v>
      </c>
      <c r="C11">
        <f t="shared" si="0"/>
        <v>368000000</v>
      </c>
      <c r="D11">
        <f t="shared" si="1"/>
        <v>36800000</v>
      </c>
      <c r="E11">
        <f t="shared" si="2"/>
        <v>3680000</v>
      </c>
    </row>
    <row r="12" spans="1:5">
      <c r="A12">
        <v>1963</v>
      </c>
      <c r="B12" s="19">
        <v>521000000000</v>
      </c>
      <c r="C12">
        <f t="shared" si="0"/>
        <v>521000000</v>
      </c>
      <c r="D12">
        <f t="shared" si="1"/>
        <v>52100000</v>
      </c>
      <c r="E12">
        <f t="shared" si="2"/>
        <v>5210000</v>
      </c>
    </row>
    <row r="13" spans="1:5">
      <c r="A13">
        <v>1964</v>
      </c>
      <c r="B13" s="19">
        <v>743000000000</v>
      </c>
      <c r="C13">
        <f t="shared" si="0"/>
        <v>743000000</v>
      </c>
      <c r="D13">
        <f t="shared" si="1"/>
        <v>74300000</v>
      </c>
      <c r="E13">
        <f t="shared" si="2"/>
        <v>7430000</v>
      </c>
    </row>
    <row r="14" spans="1:5">
      <c r="A14">
        <v>1965</v>
      </c>
      <c r="B14" s="19">
        <v>837000000000</v>
      </c>
      <c r="C14">
        <f t="shared" si="0"/>
        <v>837000000</v>
      </c>
      <c r="D14">
        <f t="shared" si="1"/>
        <v>83700000</v>
      </c>
      <c r="E14">
        <f t="shared" si="2"/>
        <v>8370000</v>
      </c>
    </row>
    <row r="15" spans="1:5">
      <c r="A15">
        <v>1966</v>
      </c>
      <c r="B15" s="19">
        <v>1070000000000</v>
      </c>
      <c r="C15">
        <f t="shared" si="0"/>
        <v>1070000000</v>
      </c>
      <c r="D15">
        <f t="shared" si="1"/>
        <v>107000000</v>
      </c>
      <c r="E15">
        <f t="shared" si="2"/>
        <v>10700000</v>
      </c>
    </row>
    <row r="16" spans="1:5">
      <c r="A16">
        <v>1967</v>
      </c>
      <c r="B16" s="19">
        <v>1320000000000</v>
      </c>
      <c r="C16">
        <f t="shared" si="0"/>
        <v>1320000000</v>
      </c>
      <c r="D16">
        <f t="shared" si="1"/>
        <v>132000000</v>
      </c>
      <c r="E16">
        <f t="shared" si="2"/>
        <v>13200000</v>
      </c>
    </row>
    <row r="17" spans="1:5">
      <c r="A17">
        <v>1968</v>
      </c>
      <c r="B17" s="19">
        <v>1710000000000</v>
      </c>
      <c r="C17">
        <f t="shared" si="0"/>
        <v>1710000000</v>
      </c>
      <c r="D17">
        <f t="shared" si="1"/>
        <v>171000000</v>
      </c>
      <c r="E17">
        <f t="shared" si="2"/>
        <v>17100000</v>
      </c>
    </row>
    <row r="18" spans="1:5">
      <c r="A18">
        <v>1969</v>
      </c>
      <c r="B18" s="19">
        <v>2230000000000</v>
      </c>
      <c r="C18">
        <f t="shared" si="0"/>
        <v>2230000000</v>
      </c>
      <c r="D18">
        <f t="shared" si="1"/>
        <v>223000000</v>
      </c>
      <c r="E18">
        <f t="shared" si="2"/>
        <v>22300000</v>
      </c>
    </row>
    <row r="19" spans="1:5">
      <c r="A19">
        <v>1970</v>
      </c>
      <c r="B19" s="19">
        <v>2820000000000</v>
      </c>
      <c r="C19">
        <f t="shared" si="0"/>
        <v>2820000000</v>
      </c>
      <c r="D19">
        <f t="shared" si="1"/>
        <v>282000000</v>
      </c>
      <c r="E19">
        <f t="shared" si="2"/>
        <v>28200000</v>
      </c>
    </row>
    <row r="20" spans="1:5">
      <c r="A20">
        <v>1971</v>
      </c>
      <c r="B20" s="19">
        <v>3470000000000</v>
      </c>
      <c r="C20">
        <f t="shared" si="0"/>
        <v>3470000000</v>
      </c>
      <c r="D20">
        <f t="shared" si="1"/>
        <v>347000000</v>
      </c>
      <c r="E20">
        <f t="shared" si="2"/>
        <v>34700000</v>
      </c>
    </row>
    <row r="21" spans="1:5">
      <c r="A21">
        <v>1972</v>
      </c>
      <c r="B21" s="19">
        <v>4320000000000</v>
      </c>
      <c r="C21">
        <f t="shared" si="0"/>
        <v>4320000000</v>
      </c>
      <c r="D21">
        <f t="shared" si="1"/>
        <v>432000000</v>
      </c>
      <c r="E21">
        <f t="shared" si="2"/>
        <v>43200000</v>
      </c>
    </row>
    <row r="22" spans="1:5">
      <c r="A22">
        <v>1973</v>
      </c>
      <c r="B22" s="19">
        <v>5600000000000</v>
      </c>
      <c r="C22">
        <f t="shared" si="0"/>
        <v>5600000000</v>
      </c>
      <c r="D22">
        <f t="shared" si="1"/>
        <v>560000000</v>
      </c>
      <c r="E22">
        <f t="shared" si="2"/>
        <v>56000000</v>
      </c>
    </row>
    <row r="23" spans="1:5">
      <c r="A23">
        <v>1974</v>
      </c>
      <c r="B23" s="19">
        <v>8030000000000</v>
      </c>
      <c r="C23">
        <f t="shared" si="0"/>
        <v>8030000000</v>
      </c>
      <c r="D23">
        <f t="shared" si="1"/>
        <v>803000000</v>
      </c>
      <c r="E23">
        <f t="shared" si="2"/>
        <v>80300000</v>
      </c>
    </row>
    <row r="24" spans="1:5">
      <c r="A24">
        <v>1975</v>
      </c>
      <c r="B24" s="19">
        <v>10700000000000</v>
      </c>
      <c r="C24">
        <f t="shared" si="0"/>
        <v>10700000000</v>
      </c>
      <c r="D24">
        <f t="shared" si="1"/>
        <v>1070000000</v>
      </c>
      <c r="E24">
        <f t="shared" si="2"/>
        <v>107000000</v>
      </c>
    </row>
    <row r="25" spans="1:5">
      <c r="A25">
        <v>1976</v>
      </c>
      <c r="B25" s="19">
        <v>14700000000000</v>
      </c>
      <c r="C25">
        <f t="shared" si="0"/>
        <v>14700000000</v>
      </c>
      <c r="D25">
        <f t="shared" si="1"/>
        <v>1470000000</v>
      </c>
      <c r="E25">
        <f t="shared" si="2"/>
        <v>147000000</v>
      </c>
    </row>
    <row r="26" spans="1:5">
      <c r="A26">
        <v>1977</v>
      </c>
      <c r="B26" s="19">
        <v>18900000000000</v>
      </c>
      <c r="C26">
        <f t="shared" si="0"/>
        <v>18900000000</v>
      </c>
      <c r="D26">
        <f t="shared" si="1"/>
        <v>1890000000</v>
      </c>
      <c r="E26">
        <f t="shared" si="2"/>
        <v>189000000</v>
      </c>
    </row>
    <row r="27" spans="1:5">
      <c r="A27">
        <v>1978</v>
      </c>
      <c r="B27" s="19">
        <v>25600000000000</v>
      </c>
      <c r="C27">
        <f t="shared" si="0"/>
        <v>25600000000</v>
      </c>
      <c r="D27">
        <f t="shared" si="1"/>
        <v>2560000000</v>
      </c>
      <c r="E27">
        <f t="shared" si="2"/>
        <v>256000000</v>
      </c>
    </row>
    <row r="28" spans="1:5">
      <c r="A28">
        <v>1979</v>
      </c>
      <c r="B28" s="19">
        <v>33000000000000</v>
      </c>
      <c r="C28">
        <f t="shared" si="0"/>
        <v>33000000000</v>
      </c>
      <c r="D28">
        <f t="shared" si="1"/>
        <v>3300000000</v>
      </c>
      <c r="E28">
        <f t="shared" si="2"/>
        <v>330000000</v>
      </c>
    </row>
    <row r="29" spans="1:5">
      <c r="A29">
        <v>1980</v>
      </c>
      <c r="B29" s="19">
        <v>40400000000000</v>
      </c>
      <c r="C29">
        <f t="shared" si="0"/>
        <v>40400000000</v>
      </c>
      <c r="D29">
        <f t="shared" si="1"/>
        <v>4040000000</v>
      </c>
      <c r="E29">
        <f t="shared" si="2"/>
        <v>404000000</v>
      </c>
    </row>
    <row r="30" spans="1:5">
      <c r="A30">
        <v>1981</v>
      </c>
      <c r="B30" s="19">
        <v>50600000000000</v>
      </c>
      <c r="C30">
        <f t="shared" si="0"/>
        <v>50600000000</v>
      </c>
      <c r="D30">
        <f t="shared" si="1"/>
        <v>5060000000</v>
      </c>
      <c r="E30">
        <f t="shared" si="2"/>
        <v>506000000</v>
      </c>
    </row>
    <row r="31" spans="1:5">
      <c r="A31">
        <v>1982</v>
      </c>
      <c r="B31" s="19">
        <v>58400000000000</v>
      </c>
      <c r="C31">
        <f t="shared" si="0"/>
        <v>58400000000</v>
      </c>
      <c r="D31">
        <f t="shared" si="1"/>
        <v>5840000000</v>
      </c>
      <c r="E31">
        <f t="shared" si="2"/>
        <v>584000000</v>
      </c>
    </row>
    <row r="32" spans="1:5">
      <c r="A32">
        <v>1983</v>
      </c>
      <c r="B32" s="19">
        <v>69500000000000</v>
      </c>
      <c r="C32">
        <f t="shared" si="0"/>
        <v>69500000000</v>
      </c>
      <c r="D32">
        <f t="shared" si="1"/>
        <v>6950000000</v>
      </c>
      <c r="E32">
        <f t="shared" si="2"/>
        <v>695000000</v>
      </c>
    </row>
    <row r="33" spans="1:6">
      <c r="A33">
        <v>1984</v>
      </c>
      <c r="B33" s="19">
        <v>80400000000000</v>
      </c>
      <c r="C33">
        <f t="shared" si="0"/>
        <v>80400000000</v>
      </c>
      <c r="D33">
        <f t="shared" si="1"/>
        <v>8040000000</v>
      </c>
      <c r="E33">
        <f t="shared" si="2"/>
        <v>804000000</v>
      </c>
    </row>
    <row r="34" spans="1:6">
      <c r="A34">
        <v>1985</v>
      </c>
      <c r="B34" s="19">
        <v>90300000000000</v>
      </c>
      <c r="C34">
        <f t="shared" si="0"/>
        <v>90300000000</v>
      </c>
      <c r="D34">
        <f t="shared" si="1"/>
        <v>9030000000</v>
      </c>
      <c r="E34">
        <f t="shared" si="2"/>
        <v>903000000</v>
      </c>
    </row>
    <row r="35" spans="1:6">
      <c r="A35">
        <v>1986</v>
      </c>
      <c r="B35" s="19">
        <v>106000000000000</v>
      </c>
      <c r="C35">
        <f t="shared" si="0"/>
        <v>106000000000</v>
      </c>
      <c r="D35">
        <f t="shared" si="1"/>
        <v>10600000000</v>
      </c>
      <c r="E35">
        <f t="shared" si="2"/>
        <v>1060000000</v>
      </c>
    </row>
    <row r="36" spans="1:6">
      <c r="A36">
        <v>1987</v>
      </c>
      <c r="B36" s="19">
        <v>125000000000000</v>
      </c>
      <c r="C36">
        <f t="shared" si="0"/>
        <v>125000000000</v>
      </c>
      <c r="D36">
        <f t="shared" si="1"/>
        <v>12500000000</v>
      </c>
      <c r="E36">
        <f t="shared" si="2"/>
        <v>1250000000</v>
      </c>
    </row>
    <row r="37" spans="1:6">
      <c r="A37">
        <v>1988</v>
      </c>
      <c r="B37" s="19">
        <v>150000000000000</v>
      </c>
      <c r="C37">
        <f t="shared" si="0"/>
        <v>150000000000</v>
      </c>
      <c r="D37">
        <f t="shared" si="1"/>
        <v>15000000000</v>
      </c>
      <c r="E37">
        <f t="shared" si="2"/>
        <v>1500000000</v>
      </c>
    </row>
    <row r="38" spans="1:6">
      <c r="A38">
        <v>1989</v>
      </c>
      <c r="B38" s="19">
        <v>171000000000000</v>
      </c>
      <c r="C38">
        <f t="shared" si="0"/>
        <v>171000000000</v>
      </c>
      <c r="D38">
        <f t="shared" si="1"/>
        <v>17100000000</v>
      </c>
      <c r="E38">
        <f t="shared" si="2"/>
        <v>1710000000</v>
      </c>
    </row>
    <row r="39" spans="1:6">
      <c r="A39">
        <v>1990</v>
      </c>
      <c r="B39" s="19">
        <v>207000000000000</v>
      </c>
      <c r="C39">
        <f t="shared" si="0"/>
        <v>207000000000</v>
      </c>
      <c r="D39">
        <f t="shared" si="1"/>
        <v>20700000000</v>
      </c>
      <c r="E39">
        <f t="shared" si="2"/>
        <v>2070000000</v>
      </c>
    </row>
    <row r="40" spans="1:6">
      <c r="A40">
        <v>1991</v>
      </c>
      <c r="B40" s="19">
        <v>250000000000000</v>
      </c>
      <c r="C40">
        <f t="shared" si="0"/>
        <v>250000000000</v>
      </c>
      <c r="D40">
        <f t="shared" si="1"/>
        <v>25000000000</v>
      </c>
      <c r="E40">
        <f t="shared" si="2"/>
        <v>2500000000</v>
      </c>
    </row>
    <row r="41" spans="1:6">
      <c r="A41">
        <v>1992</v>
      </c>
      <c r="B41" s="19">
        <v>286000000000000</v>
      </c>
      <c r="C41">
        <f t="shared" si="0"/>
        <v>286000000000</v>
      </c>
      <c r="D41">
        <f t="shared" si="1"/>
        <v>28600000000</v>
      </c>
      <c r="E41">
        <f t="shared" si="2"/>
        <v>2860000000</v>
      </c>
      <c r="F41" s="20" t="s">
        <v>133</v>
      </c>
    </row>
    <row r="42" spans="1:6">
      <c r="A42">
        <v>1993</v>
      </c>
      <c r="B42" s="19">
        <v>326000000000000</v>
      </c>
      <c r="C42">
        <f t="shared" si="0"/>
        <v>326000000000</v>
      </c>
      <c r="D42">
        <f t="shared" si="1"/>
        <v>32600000000</v>
      </c>
      <c r="E42">
        <f t="shared" si="2"/>
        <v>3260000000</v>
      </c>
      <c r="F42" s="21" t="s">
        <v>126</v>
      </c>
    </row>
    <row r="43" spans="1:6">
      <c r="A43">
        <v>1994</v>
      </c>
      <c r="B43" s="19">
        <v>385000000000000</v>
      </c>
      <c r="C43">
        <f t="shared" si="0"/>
        <v>385000000000</v>
      </c>
      <c r="D43">
        <f t="shared" si="1"/>
        <v>38500000000</v>
      </c>
      <c r="E43">
        <f t="shared" si="2"/>
        <v>3850000000</v>
      </c>
      <c r="F43" s="21" t="s">
        <v>127</v>
      </c>
    </row>
    <row r="44" spans="1:6">
      <c r="A44">
        <v>1995</v>
      </c>
      <c r="B44" s="19">
        <v>452000000000000</v>
      </c>
      <c r="C44">
        <f t="shared" si="0"/>
        <v>452000000000</v>
      </c>
      <c r="D44">
        <f t="shared" si="1"/>
        <v>45200000000</v>
      </c>
      <c r="E44">
        <f t="shared" si="2"/>
        <v>4520000000</v>
      </c>
      <c r="F44" s="21" t="s">
        <v>128</v>
      </c>
    </row>
    <row r="45" spans="1:6">
      <c r="A45">
        <v>1996</v>
      </c>
      <c r="B45" s="19">
        <v>508000000000000</v>
      </c>
      <c r="C45">
        <f t="shared" si="0"/>
        <v>508000000000</v>
      </c>
      <c r="D45">
        <f t="shared" si="1"/>
        <v>50800000000</v>
      </c>
      <c r="E45">
        <f t="shared" si="2"/>
        <v>5080000000</v>
      </c>
      <c r="F45" s="21" t="s">
        <v>129</v>
      </c>
    </row>
    <row r="46" spans="1:6">
      <c r="A46">
        <v>1997</v>
      </c>
      <c r="B46" s="19">
        <v>561000000000000</v>
      </c>
      <c r="C46">
        <f t="shared" si="0"/>
        <v>561000000000</v>
      </c>
      <c r="D46">
        <f t="shared" si="1"/>
        <v>56100000000</v>
      </c>
      <c r="E46">
        <f t="shared" si="2"/>
        <v>5610000000</v>
      </c>
      <c r="F46" s="21" t="s">
        <v>130</v>
      </c>
    </row>
    <row r="47" spans="1:6">
      <c r="A47">
        <v>1998</v>
      </c>
      <c r="B47" s="19">
        <v>557000000000000</v>
      </c>
      <c r="C47">
        <f t="shared" si="0"/>
        <v>557000000000</v>
      </c>
      <c r="D47">
        <f t="shared" si="1"/>
        <v>55700000000</v>
      </c>
      <c r="E47">
        <f t="shared" si="2"/>
        <v>5570000000</v>
      </c>
      <c r="F47" s="21"/>
    </row>
    <row r="48" spans="1:6">
      <c r="A48">
        <v>1999</v>
      </c>
      <c r="B48" s="19">
        <v>613000000000000</v>
      </c>
      <c r="C48">
        <f t="shared" si="0"/>
        <v>613000000000</v>
      </c>
      <c r="D48">
        <f t="shared" si="1"/>
        <v>61300000000</v>
      </c>
      <c r="E48">
        <f t="shared" si="2"/>
        <v>6130000000</v>
      </c>
      <c r="F48" s="21" t="s">
        <v>131</v>
      </c>
    </row>
    <row r="49" spans="1:6">
      <c r="A49">
        <v>2000</v>
      </c>
      <c r="B49" s="19">
        <v>676000000000000</v>
      </c>
      <c r="C49">
        <f t="shared" si="0"/>
        <v>676000000000</v>
      </c>
      <c r="D49">
        <f t="shared" si="1"/>
        <v>67600000000</v>
      </c>
      <c r="E49">
        <f t="shared" si="2"/>
        <v>6760000000</v>
      </c>
      <c r="F49" s="21" t="s">
        <v>132</v>
      </c>
    </row>
    <row r="50" spans="1:6">
      <c r="A50">
        <v>2001</v>
      </c>
      <c r="B50" s="19">
        <v>733000000000000</v>
      </c>
      <c r="C50">
        <f t="shared" si="0"/>
        <v>733000000000</v>
      </c>
      <c r="D50">
        <f t="shared" si="1"/>
        <v>73300000000</v>
      </c>
      <c r="E50">
        <f t="shared" si="2"/>
        <v>7330000000</v>
      </c>
    </row>
    <row r="51" spans="1:6">
      <c r="A51">
        <v>2002</v>
      </c>
      <c r="B51" s="19">
        <v>813000000000000</v>
      </c>
      <c r="C51">
        <f t="shared" si="0"/>
        <v>813000000000</v>
      </c>
      <c r="D51">
        <f t="shared" si="1"/>
        <v>81300000000</v>
      </c>
      <c r="E51">
        <f t="shared" si="2"/>
        <v>8130000000</v>
      </c>
    </row>
    <row r="52" spans="1:6">
      <c r="A52">
        <v>2003</v>
      </c>
      <c r="B52" s="19">
        <v>868000000000000</v>
      </c>
      <c r="C52">
        <f t="shared" si="0"/>
        <v>868000000000</v>
      </c>
      <c r="D52">
        <f t="shared" si="1"/>
        <v>86800000000</v>
      </c>
      <c r="E52">
        <f t="shared" si="2"/>
        <v>8680000000</v>
      </c>
    </row>
    <row r="53" spans="1:6">
      <c r="A53">
        <v>2004</v>
      </c>
      <c r="B53" s="19">
        <v>943000000000000</v>
      </c>
      <c r="C53">
        <f t="shared" si="0"/>
        <v>943000000000</v>
      </c>
      <c r="D53">
        <f t="shared" si="1"/>
        <v>94300000000</v>
      </c>
      <c r="E53">
        <f t="shared" si="2"/>
        <v>9430000000</v>
      </c>
    </row>
    <row r="54" spans="1:6">
      <c r="A54">
        <v>2005</v>
      </c>
      <c r="B54" s="19">
        <v>995000000000000</v>
      </c>
      <c r="C54">
        <f t="shared" si="0"/>
        <v>995000000000</v>
      </c>
      <c r="D54">
        <f t="shared" si="1"/>
        <v>99500000000</v>
      </c>
      <c r="E54">
        <f t="shared" si="2"/>
        <v>9950000000</v>
      </c>
    </row>
    <row r="55" spans="1:6">
      <c r="A55">
        <v>2006</v>
      </c>
      <c r="B55" s="19">
        <v>1050000000000000</v>
      </c>
      <c r="C55">
        <f t="shared" si="0"/>
        <v>1050000000000</v>
      </c>
      <c r="D55">
        <f t="shared" si="1"/>
        <v>105000000000</v>
      </c>
      <c r="E55">
        <f t="shared" si="2"/>
        <v>10500000000</v>
      </c>
    </row>
    <row r="56" spans="1:6">
      <c r="A56">
        <v>2007</v>
      </c>
      <c r="B56" s="19">
        <v>1130000000000000</v>
      </c>
      <c r="C56">
        <f t="shared" si="0"/>
        <v>1130000000000</v>
      </c>
      <c r="D56">
        <f t="shared" si="1"/>
        <v>113000000000</v>
      </c>
      <c r="E56">
        <f t="shared" si="2"/>
        <v>11300000000</v>
      </c>
    </row>
    <row r="57" spans="1:6">
      <c r="A57">
        <v>2008</v>
      </c>
      <c r="B57" s="19">
        <v>1200000000000000</v>
      </c>
      <c r="C57">
        <f t="shared" si="0"/>
        <v>1200000000000</v>
      </c>
      <c r="D57">
        <f t="shared" si="1"/>
        <v>120000000000</v>
      </c>
      <c r="E57">
        <f t="shared" si="2"/>
        <v>12000000000</v>
      </c>
    </row>
    <row r="58" spans="1:6">
      <c r="A58">
        <v>2009</v>
      </c>
      <c r="B58" s="19">
        <v>1260000000000000</v>
      </c>
      <c r="C58">
        <f t="shared" si="0"/>
        <v>1260000000000</v>
      </c>
      <c r="D58">
        <f t="shared" si="1"/>
        <v>126000000000</v>
      </c>
      <c r="E58">
        <f t="shared" si="2"/>
        <v>12600000000</v>
      </c>
    </row>
    <row r="59" spans="1:6">
      <c r="A59">
        <v>2010</v>
      </c>
      <c r="B59" s="19">
        <v>1380000000000000</v>
      </c>
      <c r="C59">
        <f t="shared" si="0"/>
        <v>1380000000000</v>
      </c>
      <c r="D59">
        <f t="shared" si="1"/>
        <v>138000000000</v>
      </c>
      <c r="E59">
        <f t="shared" si="2"/>
        <v>13800000000</v>
      </c>
    </row>
    <row r="60" spans="1:6">
      <c r="A60">
        <v>2011</v>
      </c>
      <c r="B60" s="19">
        <v>1450000000000000</v>
      </c>
      <c r="C60">
        <f t="shared" si="0"/>
        <v>1450000000000</v>
      </c>
      <c r="D60">
        <f t="shared" si="1"/>
        <v>145000000000</v>
      </c>
      <c r="E60">
        <f t="shared" si="2"/>
        <v>14500000000</v>
      </c>
    </row>
    <row r="61" spans="1:6">
      <c r="A61">
        <v>2012</v>
      </c>
      <c r="B61" s="19">
        <v>1500000000000000</v>
      </c>
      <c r="C61">
        <f t="shared" si="0"/>
        <v>1500000000000</v>
      </c>
      <c r="D61">
        <f t="shared" si="1"/>
        <v>150000000000</v>
      </c>
      <c r="E61">
        <f t="shared" si="2"/>
        <v>15000000000</v>
      </c>
    </row>
    <row r="62" spans="1:6">
      <c r="A62">
        <v>2013</v>
      </c>
      <c r="B62" s="19">
        <v>1570000000000000</v>
      </c>
      <c r="C62">
        <f t="shared" si="0"/>
        <v>1570000000000</v>
      </c>
      <c r="D62">
        <f t="shared" si="1"/>
        <v>157000000000</v>
      </c>
      <c r="E62">
        <f t="shared" si="2"/>
        <v>15700000000</v>
      </c>
    </row>
    <row r="63" spans="1:6">
      <c r="A63">
        <v>2014</v>
      </c>
      <c r="B63" s="19">
        <v>1640000000000000</v>
      </c>
      <c r="C63">
        <f t="shared" si="0"/>
        <v>1640000000000</v>
      </c>
      <c r="D63">
        <f t="shared" si="1"/>
        <v>164000000000</v>
      </c>
      <c r="E63">
        <f t="shared" si="2"/>
        <v>16400000000</v>
      </c>
    </row>
    <row r="64" spans="1:6">
      <c r="A64">
        <v>2015</v>
      </c>
      <c r="B64" s="19">
        <v>1740000000000000</v>
      </c>
      <c r="C64">
        <f t="shared" si="0"/>
        <v>1740000000000</v>
      </c>
      <c r="D64">
        <f t="shared" si="1"/>
        <v>174000000000</v>
      </c>
      <c r="E64">
        <f t="shared" si="2"/>
        <v>17400000000</v>
      </c>
    </row>
    <row r="65" spans="1:5">
      <c r="A65">
        <v>2016</v>
      </c>
      <c r="B65" s="19">
        <v>1830000000000000</v>
      </c>
      <c r="C65">
        <f t="shared" si="0"/>
        <v>1830000000000</v>
      </c>
      <c r="D65">
        <f t="shared" si="1"/>
        <v>183000000000</v>
      </c>
      <c r="E65">
        <f t="shared" si="2"/>
        <v>18300000000</v>
      </c>
    </row>
    <row r="66" spans="1:5">
      <c r="A66">
        <v>2017</v>
      </c>
      <c r="B66" s="19">
        <v>1930000000000000</v>
      </c>
      <c r="C66">
        <f t="shared" si="0"/>
        <v>1930000000000</v>
      </c>
      <c r="D66">
        <f t="shared" si="1"/>
        <v>193000000000</v>
      </c>
      <c r="E66">
        <f t="shared" si="2"/>
        <v>19300000000</v>
      </c>
    </row>
    <row r="67" spans="1:5">
      <c r="A67">
        <v>2018</v>
      </c>
      <c r="B67" s="19">
        <v>2010000000000000</v>
      </c>
      <c r="C67">
        <f t="shared" ref="C67:C114" si="3">B67/1000</f>
        <v>2010000000000</v>
      </c>
      <c r="D67">
        <f t="shared" ref="D67:D114" si="4">B67/10000</f>
        <v>201000000000</v>
      </c>
      <c r="E67">
        <f t="shared" ref="E67:E114" si="5">B67/100000</f>
        <v>20100000000</v>
      </c>
    </row>
    <row r="68" spans="1:5">
      <c r="A68">
        <v>2019</v>
      </c>
      <c r="B68" s="19">
        <v>2040000000000000</v>
      </c>
      <c r="C68">
        <f t="shared" si="3"/>
        <v>2040000000000</v>
      </c>
      <c r="D68">
        <f t="shared" si="4"/>
        <v>204000000000</v>
      </c>
      <c r="E68">
        <f t="shared" si="5"/>
        <v>20400000000</v>
      </c>
    </row>
    <row r="69" spans="1:5">
      <c r="A69">
        <v>2020</v>
      </c>
      <c r="B69" s="19">
        <v>2060000000000000</v>
      </c>
      <c r="C69">
        <f t="shared" si="3"/>
        <v>2060000000000</v>
      </c>
      <c r="D69">
        <f t="shared" si="4"/>
        <v>206000000000</v>
      </c>
      <c r="E69">
        <f t="shared" si="5"/>
        <v>20600000000</v>
      </c>
    </row>
    <row r="70" spans="1:5">
      <c r="A70">
        <v>2021</v>
      </c>
      <c r="B70" s="19">
        <v>2220000000000000</v>
      </c>
      <c r="C70">
        <f t="shared" si="3"/>
        <v>2220000000000</v>
      </c>
      <c r="D70">
        <f t="shared" si="4"/>
        <v>222000000000</v>
      </c>
      <c r="E70">
        <f t="shared" si="5"/>
        <v>22200000000</v>
      </c>
    </row>
    <row r="71" spans="1:5">
      <c r="A71">
        <v>2022</v>
      </c>
      <c r="B71" s="19">
        <v>2320000000000000</v>
      </c>
      <c r="C71">
        <f t="shared" si="3"/>
        <v>2320000000000</v>
      </c>
      <c r="D71">
        <f t="shared" si="4"/>
        <v>232000000000</v>
      </c>
      <c r="E71">
        <f t="shared" si="5"/>
        <v>23200000000</v>
      </c>
    </row>
    <row r="72" spans="1:5">
      <c r="A72">
        <v>2023</v>
      </c>
      <c r="B72" s="19">
        <v>2410000000000000</v>
      </c>
      <c r="C72">
        <f t="shared" si="3"/>
        <v>2410000000000</v>
      </c>
      <c r="D72">
        <f t="shared" si="4"/>
        <v>241000000000</v>
      </c>
      <c r="E72">
        <f t="shared" si="5"/>
        <v>24100000000</v>
      </c>
    </row>
    <row r="73" spans="1:5">
      <c r="A73">
        <v>2024</v>
      </c>
      <c r="B73" s="19">
        <v>2560000000000000</v>
      </c>
      <c r="C73">
        <f t="shared" si="3"/>
        <v>2560000000000</v>
      </c>
      <c r="D73">
        <f t="shared" si="4"/>
        <v>256000000000</v>
      </c>
      <c r="E73">
        <f t="shared" si="5"/>
        <v>25600000000</v>
      </c>
    </row>
    <row r="74" spans="1:5">
      <c r="A74">
        <v>2025</v>
      </c>
      <c r="B74">
        <v>2702093564575830</v>
      </c>
      <c r="C74">
        <f t="shared" si="3"/>
        <v>2702093564575.8301</v>
      </c>
      <c r="D74">
        <f t="shared" si="4"/>
        <v>270209356457.58301</v>
      </c>
      <c r="E74">
        <f t="shared" si="5"/>
        <v>27020935645.758301</v>
      </c>
    </row>
    <row r="75" spans="1:5">
      <c r="A75">
        <v>2026</v>
      </c>
      <c r="B75">
        <v>2838777898219770</v>
      </c>
      <c r="C75">
        <f t="shared" si="3"/>
        <v>2838777898219.77</v>
      </c>
      <c r="D75">
        <f t="shared" si="4"/>
        <v>283877789821.97699</v>
      </c>
      <c r="E75">
        <f t="shared" si="5"/>
        <v>28387778982.197701</v>
      </c>
    </row>
    <row r="76" spans="1:5">
      <c r="A76">
        <v>2027</v>
      </c>
      <c r="B76">
        <v>2967765089611710</v>
      </c>
      <c r="C76">
        <f t="shared" si="3"/>
        <v>2967765089611.71</v>
      </c>
      <c r="D76">
        <f t="shared" si="4"/>
        <v>296776508961.17102</v>
      </c>
      <c r="E76">
        <f t="shared" si="5"/>
        <v>29677650896.1171</v>
      </c>
    </row>
    <row r="77" spans="1:5">
      <c r="A77">
        <v>2028</v>
      </c>
      <c r="B77">
        <v>3090149775799340</v>
      </c>
      <c r="C77">
        <f t="shared" si="3"/>
        <v>3090149775799.3398</v>
      </c>
      <c r="D77">
        <f t="shared" si="4"/>
        <v>309014977579.93402</v>
      </c>
      <c r="E77">
        <f t="shared" si="5"/>
        <v>30901497757.993401</v>
      </c>
    </row>
    <row r="78" spans="1:5">
      <c r="A78">
        <v>2029</v>
      </c>
      <c r="B78">
        <v>3205026075794670</v>
      </c>
      <c r="C78">
        <f t="shared" si="3"/>
        <v>3205026075794.6699</v>
      </c>
      <c r="D78">
        <f t="shared" si="4"/>
        <v>320502607579.46698</v>
      </c>
      <c r="E78">
        <f t="shared" si="5"/>
        <v>32050260757.946701</v>
      </c>
    </row>
    <row r="79" spans="1:5">
      <c r="A79">
        <v>2030</v>
      </c>
      <c r="B79">
        <v>3312967096600780</v>
      </c>
      <c r="C79">
        <f t="shared" si="3"/>
        <v>3312967096600.7798</v>
      </c>
      <c r="D79">
        <f t="shared" si="4"/>
        <v>331296709660.078</v>
      </c>
      <c r="E79">
        <f t="shared" si="5"/>
        <v>33129670966.007801</v>
      </c>
    </row>
    <row r="80" spans="1:5">
      <c r="A80">
        <v>2031</v>
      </c>
      <c r="B80">
        <v>3413735255359390</v>
      </c>
      <c r="C80">
        <f t="shared" si="3"/>
        <v>3413735255359.3901</v>
      </c>
      <c r="D80">
        <f t="shared" si="4"/>
        <v>341373525535.93903</v>
      </c>
      <c r="E80">
        <f t="shared" si="5"/>
        <v>34137352553.593899</v>
      </c>
    </row>
    <row r="81" spans="1:5">
      <c r="A81">
        <v>2032</v>
      </c>
      <c r="B81">
        <v>3507735819268870</v>
      </c>
      <c r="C81">
        <f t="shared" si="3"/>
        <v>3507735819268.8701</v>
      </c>
      <c r="D81">
        <f t="shared" si="4"/>
        <v>350773581926.88702</v>
      </c>
      <c r="E81">
        <f t="shared" si="5"/>
        <v>35077358192.688698</v>
      </c>
    </row>
    <row r="82" spans="1:5">
      <c r="A82">
        <v>2033</v>
      </c>
      <c r="B82">
        <v>3595054553565420</v>
      </c>
      <c r="C82">
        <f t="shared" si="3"/>
        <v>3595054553565.4199</v>
      </c>
      <c r="D82">
        <f t="shared" si="4"/>
        <v>359505455356.54199</v>
      </c>
      <c r="E82">
        <f t="shared" si="5"/>
        <v>35950545535.654198</v>
      </c>
    </row>
    <row r="83" spans="1:5">
      <c r="A83">
        <v>2034</v>
      </c>
      <c r="B83">
        <v>3676053866942240</v>
      </c>
      <c r="C83">
        <f t="shared" si="3"/>
        <v>3676053866942.2402</v>
      </c>
      <c r="D83">
        <f t="shared" si="4"/>
        <v>367605386694.224</v>
      </c>
      <c r="E83">
        <f t="shared" si="5"/>
        <v>36760538669.422401</v>
      </c>
    </row>
    <row r="84" spans="1:5">
      <c r="A84">
        <v>2035</v>
      </c>
      <c r="B84">
        <v>3750971272813900</v>
      </c>
      <c r="C84">
        <f t="shared" si="3"/>
        <v>3750971272813.8999</v>
      </c>
      <c r="D84">
        <f t="shared" si="4"/>
        <v>375097127281.39001</v>
      </c>
      <c r="E84">
        <f t="shared" si="5"/>
        <v>37509712728.139</v>
      </c>
    </row>
    <row r="85" spans="1:5">
      <c r="A85">
        <v>2036</v>
      </c>
      <c r="B85">
        <v>3820159403274880</v>
      </c>
      <c r="C85">
        <f t="shared" si="3"/>
        <v>3820159403274.8799</v>
      </c>
      <c r="D85">
        <f t="shared" si="4"/>
        <v>382015940327.48798</v>
      </c>
      <c r="E85">
        <f t="shared" si="5"/>
        <v>38201594032.748802</v>
      </c>
    </row>
    <row r="86" spans="1:5">
      <c r="A86">
        <v>2037</v>
      </c>
      <c r="B86">
        <v>3883918925621200</v>
      </c>
      <c r="C86">
        <f t="shared" si="3"/>
        <v>3883918925621.2002</v>
      </c>
      <c r="D86">
        <f t="shared" si="4"/>
        <v>388391892562.12</v>
      </c>
      <c r="E86">
        <f t="shared" si="5"/>
        <v>38839189256.211998</v>
      </c>
    </row>
    <row r="87" spans="1:5">
      <c r="A87">
        <v>2038</v>
      </c>
      <c r="B87">
        <v>3942593283941750</v>
      </c>
      <c r="C87">
        <f t="shared" si="3"/>
        <v>3942593283941.75</v>
      </c>
      <c r="D87">
        <f t="shared" si="4"/>
        <v>394259328394.17499</v>
      </c>
      <c r="E87">
        <f t="shared" si="5"/>
        <v>39425932839.417503</v>
      </c>
    </row>
    <row r="88" spans="1:5">
      <c r="A88">
        <v>2039</v>
      </c>
      <c r="B88">
        <v>3996499109972640</v>
      </c>
      <c r="C88">
        <f t="shared" si="3"/>
        <v>3996499109972.6401</v>
      </c>
      <c r="D88">
        <f t="shared" si="4"/>
        <v>399649910997.26398</v>
      </c>
      <c r="E88">
        <f t="shared" si="5"/>
        <v>39964991099.726402</v>
      </c>
    </row>
    <row r="89" spans="1:5">
      <c r="A89">
        <v>2040</v>
      </c>
      <c r="B89">
        <v>4045962854709310</v>
      </c>
      <c r="C89">
        <f t="shared" si="3"/>
        <v>4045962854709.3101</v>
      </c>
      <c r="D89">
        <f t="shared" si="4"/>
        <v>404596285470.93103</v>
      </c>
      <c r="E89">
        <f t="shared" si="5"/>
        <v>40459628547.093102</v>
      </c>
    </row>
    <row r="90" spans="1:5">
      <c r="A90">
        <v>2041</v>
      </c>
      <c r="B90">
        <v>4091291769493840</v>
      </c>
      <c r="C90">
        <f t="shared" si="3"/>
        <v>4091291769493.8398</v>
      </c>
      <c r="D90">
        <f t="shared" si="4"/>
        <v>409129176949.38397</v>
      </c>
      <c r="E90">
        <f t="shared" si="5"/>
        <v>40912917694.9384</v>
      </c>
    </row>
    <row r="91" spans="1:5">
      <c r="A91">
        <v>2042</v>
      </c>
      <c r="B91">
        <v>4132787845261910</v>
      </c>
      <c r="C91">
        <f t="shared" si="3"/>
        <v>4132787845261.9102</v>
      </c>
      <c r="D91">
        <f t="shared" si="4"/>
        <v>413278784526.19098</v>
      </c>
      <c r="E91">
        <f t="shared" si="5"/>
        <v>41327878452.619102</v>
      </c>
    </row>
    <row r="92" spans="1:5">
      <c r="A92">
        <v>2043</v>
      </c>
      <c r="B92">
        <v>4170735806361880</v>
      </c>
      <c r="C92">
        <f t="shared" si="3"/>
        <v>4170735806361.8799</v>
      </c>
      <c r="D92">
        <f t="shared" si="4"/>
        <v>417073580636.18799</v>
      </c>
      <c r="E92">
        <f t="shared" si="5"/>
        <v>41707358063.618797</v>
      </c>
    </row>
    <row r="93" spans="1:5">
      <c r="A93">
        <v>2044</v>
      </c>
      <c r="B93">
        <v>4205408474969160</v>
      </c>
      <c r="C93">
        <f t="shared" si="3"/>
        <v>4205408474969.1602</v>
      </c>
      <c r="D93">
        <f t="shared" si="4"/>
        <v>420540847496.91602</v>
      </c>
      <c r="E93">
        <f t="shared" si="5"/>
        <v>42054084749.691597</v>
      </c>
    </row>
    <row r="94" spans="1:5">
      <c r="A94">
        <v>2045</v>
      </c>
      <c r="B94">
        <v>4237062005282100</v>
      </c>
      <c r="C94">
        <f t="shared" si="3"/>
        <v>4237062005282.1001</v>
      </c>
      <c r="D94">
        <f t="shared" si="4"/>
        <v>423706200528.21002</v>
      </c>
      <c r="E94">
        <f t="shared" si="5"/>
        <v>42370620052.820999</v>
      </c>
    </row>
    <row r="95" spans="1:5">
      <c r="A95">
        <v>2046</v>
      </c>
      <c r="B95">
        <v>4265938160664730</v>
      </c>
      <c r="C95">
        <f t="shared" si="3"/>
        <v>4265938160664.73</v>
      </c>
      <c r="D95">
        <f t="shared" si="4"/>
        <v>426593816066.47302</v>
      </c>
      <c r="E95">
        <f t="shared" si="5"/>
        <v>42659381606.647301</v>
      </c>
    </row>
    <row r="96" spans="1:5">
      <c r="A96">
        <v>2047</v>
      </c>
      <c r="B96">
        <v>4292262689574360</v>
      </c>
      <c r="C96">
        <f t="shared" si="3"/>
        <v>4292262689574.3599</v>
      </c>
      <c r="D96">
        <f t="shared" si="4"/>
        <v>429226268957.43597</v>
      </c>
      <c r="E96">
        <f t="shared" si="5"/>
        <v>42922626895.743599</v>
      </c>
    </row>
    <row r="97" spans="1:5">
      <c r="A97">
        <v>2048</v>
      </c>
      <c r="B97">
        <v>4316246569106420</v>
      </c>
      <c r="C97">
        <f t="shared" si="3"/>
        <v>4316246569106.4199</v>
      </c>
      <c r="D97">
        <f t="shared" si="4"/>
        <v>431624656910.64203</v>
      </c>
      <c r="E97">
        <f t="shared" si="5"/>
        <v>43162465691.064201</v>
      </c>
    </row>
    <row r="98" spans="1:5">
      <c r="A98">
        <v>2049</v>
      </c>
      <c r="B98">
        <v>4338085766255470</v>
      </c>
      <c r="C98">
        <f t="shared" si="3"/>
        <v>4338085766255.4702</v>
      </c>
      <c r="D98">
        <f t="shared" si="4"/>
        <v>433808576625.547</v>
      </c>
      <c r="E98">
        <f t="shared" si="5"/>
        <v>43380857662.554703</v>
      </c>
    </row>
    <row r="99" spans="1:5">
      <c r="A99">
        <v>2050</v>
      </c>
      <c r="B99">
        <v>4357962168108000</v>
      </c>
      <c r="C99">
        <f t="shared" si="3"/>
        <v>4357962168108</v>
      </c>
      <c r="D99">
        <f t="shared" si="4"/>
        <v>435796216810.79999</v>
      </c>
      <c r="E99">
        <f t="shared" si="5"/>
        <v>43579621681.080002</v>
      </c>
    </row>
    <row r="100" spans="1:5">
      <c r="A100">
        <v>2051</v>
      </c>
      <c r="B100">
        <v>4376043950929590</v>
      </c>
      <c r="C100">
        <f t="shared" si="3"/>
        <v>4376043950929.5898</v>
      </c>
      <c r="D100">
        <f t="shared" si="4"/>
        <v>437604395092.95898</v>
      </c>
      <c r="E100">
        <f t="shared" si="5"/>
        <v>43760439509.295898</v>
      </c>
    </row>
    <row r="101" spans="1:5">
      <c r="A101">
        <v>2052</v>
      </c>
      <c r="B101">
        <v>4392486418997340</v>
      </c>
      <c r="C101">
        <f t="shared" si="3"/>
        <v>4392486418997.3398</v>
      </c>
      <c r="D101">
        <f t="shared" si="4"/>
        <v>439248641899.73401</v>
      </c>
      <c r="E101">
        <f t="shared" si="5"/>
        <v>43924864189.973396</v>
      </c>
    </row>
    <row r="102" spans="1:5">
      <c r="A102">
        <v>2053</v>
      </c>
      <c r="B102">
        <v>4407432623280820</v>
      </c>
      <c r="C102">
        <f t="shared" si="3"/>
        <v>4407432623280.8203</v>
      </c>
      <c r="D102">
        <f t="shared" si="4"/>
        <v>440743262328.08197</v>
      </c>
      <c r="E102">
        <f t="shared" si="5"/>
        <v>44074326232.808197</v>
      </c>
    </row>
    <row r="103" spans="1:5">
      <c r="A103">
        <v>2054</v>
      </c>
      <c r="B103">
        <v>4421014157295970</v>
      </c>
      <c r="C103">
        <f t="shared" si="3"/>
        <v>4421014157295.9697</v>
      </c>
      <c r="D103">
        <f t="shared" si="4"/>
        <v>442101415729.59698</v>
      </c>
      <c r="E103">
        <f t="shared" si="5"/>
        <v>44210141572.959702</v>
      </c>
    </row>
    <row r="104" spans="1:5">
      <c r="A104">
        <v>2055</v>
      </c>
      <c r="B104">
        <v>4433351853852610</v>
      </c>
      <c r="C104">
        <f t="shared" si="3"/>
        <v>4433351853852.6104</v>
      </c>
      <c r="D104">
        <f t="shared" si="4"/>
        <v>443335185385.26099</v>
      </c>
      <c r="E104">
        <f t="shared" si="5"/>
        <v>44333518538.5261</v>
      </c>
    </row>
    <row r="105" spans="1:5">
      <c r="A105">
        <v>2056</v>
      </c>
      <c r="B105">
        <v>4444556534377050</v>
      </c>
      <c r="C105">
        <f t="shared" si="3"/>
        <v>4444556534377.0498</v>
      </c>
      <c r="D105">
        <f t="shared" si="4"/>
        <v>444455653437.70502</v>
      </c>
      <c r="E105">
        <f t="shared" si="5"/>
        <v>44445565343.7705</v>
      </c>
    </row>
    <row r="106" spans="1:5">
      <c r="A106">
        <v>2057</v>
      </c>
      <c r="B106">
        <v>4454729699762260</v>
      </c>
      <c r="C106">
        <f t="shared" si="3"/>
        <v>4454729699762.2598</v>
      </c>
      <c r="D106">
        <f t="shared" si="4"/>
        <v>445472969976.22601</v>
      </c>
      <c r="E106">
        <f t="shared" si="5"/>
        <v>44547296997.622597</v>
      </c>
    </row>
    <row r="107" spans="1:5">
      <c r="A107">
        <v>2058</v>
      </c>
      <c r="B107">
        <v>4463964220281430</v>
      </c>
      <c r="C107">
        <f t="shared" si="3"/>
        <v>4463964220281.4297</v>
      </c>
      <c r="D107">
        <f t="shared" si="4"/>
        <v>446396422028.14301</v>
      </c>
      <c r="E107">
        <f t="shared" si="5"/>
        <v>44639642202.814301</v>
      </c>
    </row>
    <row r="108" spans="1:5">
      <c r="A108">
        <v>2059</v>
      </c>
      <c r="B108">
        <v>4472344980075740</v>
      </c>
      <c r="C108">
        <f t="shared" si="3"/>
        <v>4472344980075.7402</v>
      </c>
      <c r="D108">
        <f t="shared" si="4"/>
        <v>447234498007.57397</v>
      </c>
      <c r="E108">
        <f t="shared" si="5"/>
        <v>44723449800.757401</v>
      </c>
    </row>
    <row r="109" spans="1:5">
      <c r="A109">
        <v>2060</v>
      </c>
      <c r="B109">
        <v>4479949498274500</v>
      </c>
      <c r="C109">
        <f t="shared" si="3"/>
        <v>4479949498274.5</v>
      </c>
      <c r="D109">
        <f t="shared" si="4"/>
        <v>447994949827.45001</v>
      </c>
      <c r="E109">
        <f t="shared" si="5"/>
        <v>44799494982.745003</v>
      </c>
    </row>
    <row r="110" spans="1:5">
      <c r="A110">
        <v>2061</v>
      </c>
      <c r="B110">
        <v>4486848509401400</v>
      </c>
      <c r="C110">
        <f t="shared" si="3"/>
        <v>4486848509401.4004</v>
      </c>
      <c r="D110">
        <f t="shared" si="4"/>
        <v>448684850940.14001</v>
      </c>
      <c r="E110">
        <f t="shared" si="5"/>
        <v>44868485094.014</v>
      </c>
    </row>
    <row r="111" spans="1:5">
      <c r="A111">
        <v>2062</v>
      </c>
      <c r="B111">
        <v>4493106512078860</v>
      </c>
      <c r="C111">
        <f t="shared" si="3"/>
        <v>4493106512078.8604</v>
      </c>
      <c r="D111">
        <f t="shared" si="4"/>
        <v>449310651207.88599</v>
      </c>
      <c r="E111">
        <f t="shared" si="5"/>
        <v>44931065120.788597</v>
      </c>
    </row>
    <row r="112" spans="1:5">
      <c r="A112">
        <v>2063</v>
      </c>
      <c r="B112">
        <v>4498782279919890</v>
      </c>
      <c r="C112">
        <f t="shared" si="3"/>
        <v>4498782279919.8896</v>
      </c>
      <c r="D112">
        <f t="shared" si="4"/>
        <v>449878227991.98901</v>
      </c>
      <c r="E112">
        <f t="shared" si="5"/>
        <v>44987822799.198898</v>
      </c>
    </row>
    <row r="113" spans="1:5">
      <c r="A113">
        <v>2064</v>
      </c>
      <c r="B113">
        <v>4503929338975960</v>
      </c>
      <c r="C113">
        <f t="shared" si="3"/>
        <v>4503929338975.96</v>
      </c>
      <c r="D113">
        <f t="shared" si="4"/>
        <v>450392933897.59601</v>
      </c>
      <c r="E113">
        <f t="shared" si="5"/>
        <v>45039293389.759598</v>
      </c>
    </row>
    <row r="114" spans="1:5">
      <c r="A114">
        <v>2065</v>
      </c>
      <c r="B114">
        <v>4508596410337970</v>
      </c>
      <c r="C114">
        <f t="shared" si="3"/>
        <v>4508596410337.9697</v>
      </c>
      <c r="D114">
        <f t="shared" si="4"/>
        <v>450859641033.797</v>
      </c>
      <c r="E114">
        <f t="shared" si="5"/>
        <v>45085964103.3797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736-98FC-4C38-9EAC-6568DB6CF033}">
  <dimension ref="A1:Q87"/>
  <sheetViews>
    <sheetView topLeftCell="A46" zoomScale="55" zoomScaleNormal="55" workbookViewId="0">
      <selection activeCell="L55" sqref="L55"/>
    </sheetView>
  </sheetViews>
  <sheetFormatPr defaultRowHeight="17.399999999999999"/>
  <cols>
    <col min="2" max="2" width="15.19921875" customWidth="1"/>
    <col min="3" max="3" width="13.8984375" customWidth="1"/>
    <col min="4" max="4" width="16.09765625" customWidth="1"/>
    <col min="5" max="5" width="15.19921875" customWidth="1"/>
  </cols>
  <sheetData>
    <row r="1" spans="1:17">
      <c r="A1" t="s">
        <v>134</v>
      </c>
      <c r="G1" s="26" t="s">
        <v>155</v>
      </c>
      <c r="H1" s="26"/>
      <c r="I1" s="26"/>
      <c r="J1" s="26"/>
      <c r="K1" s="26"/>
      <c r="L1" s="26"/>
      <c r="M1" s="26"/>
    </row>
    <row r="2" spans="1:17">
      <c r="A2" s="9" t="s">
        <v>138</v>
      </c>
      <c r="B2" t="s">
        <v>137</v>
      </c>
      <c r="C2" t="s">
        <v>153</v>
      </c>
      <c r="D2" t="s">
        <v>154</v>
      </c>
      <c r="G2" s="26"/>
      <c r="H2" s="26"/>
      <c r="I2" s="26"/>
      <c r="J2" s="26"/>
      <c r="K2" s="26"/>
      <c r="L2" s="26"/>
      <c r="M2" s="26"/>
    </row>
    <row r="3" spans="1:17">
      <c r="A3">
        <v>2025</v>
      </c>
      <c r="B3">
        <v>2710908786592810</v>
      </c>
      <c r="C3">
        <v>3373517380753070</v>
      </c>
      <c r="D3">
        <v>3008419642094250</v>
      </c>
      <c r="G3" s="2" t="s">
        <v>139</v>
      </c>
      <c r="Q3" s="2" t="s">
        <v>166</v>
      </c>
    </row>
    <row r="4" spans="1:17">
      <c r="A4">
        <v>2026</v>
      </c>
      <c r="B4">
        <v>2873682711407340</v>
      </c>
      <c r="C4">
        <v>3421782625073930</v>
      </c>
      <c r="D4">
        <v>3122732744061430</v>
      </c>
      <c r="G4" s="1"/>
      <c r="Q4" s="1"/>
    </row>
    <row r="5" spans="1:17">
      <c r="A5">
        <v>2027</v>
      </c>
      <c r="B5">
        <v>3044487963097950</v>
      </c>
      <c r="C5">
        <v>3468539267448100</v>
      </c>
      <c r="D5">
        <v>3238995569470410</v>
      </c>
      <c r="G5" s="23" t="s">
        <v>140</v>
      </c>
      <c r="Q5" s="11" t="s">
        <v>167</v>
      </c>
    </row>
    <row r="6" spans="1:17">
      <c r="A6">
        <v>2028</v>
      </c>
      <c r="B6">
        <v>3222815780491770</v>
      </c>
      <c r="C6">
        <v>3513874547846940</v>
      </c>
      <c r="D6">
        <v>3357320501383600</v>
      </c>
      <c r="G6" s="1"/>
      <c r="Q6" s="1"/>
    </row>
    <row r="7" spans="1:17">
      <c r="A7">
        <v>2029</v>
      </c>
      <c r="B7">
        <v>3408283710440660</v>
      </c>
      <c r="C7">
        <v>3557868813618510</v>
      </c>
      <c r="D7">
        <v>3477817819260050</v>
      </c>
      <c r="G7" s="11" t="s">
        <v>146</v>
      </c>
      <c r="Q7" s="11" t="s">
        <v>160</v>
      </c>
    </row>
    <row r="8" spans="1:17">
      <c r="A8">
        <v>2030</v>
      </c>
      <c r="B8">
        <v>3600596266389910</v>
      </c>
      <c r="C8">
        <v>3600596266389910</v>
      </c>
      <c r="D8">
        <v>3600596266389910</v>
      </c>
      <c r="G8" s="1"/>
      <c r="Q8" s="1"/>
    </row>
    <row r="9" spans="1:17">
      <c r="A9">
        <v>2031</v>
      </c>
      <c r="B9">
        <v>3684958488996600</v>
      </c>
      <c r="C9">
        <v>3642125606092600</v>
      </c>
      <c r="D9">
        <v>3725763537627990</v>
      </c>
      <c r="G9" s="11" t="s">
        <v>141</v>
      </c>
      <c r="Q9" s="11" t="s">
        <v>168</v>
      </c>
    </row>
    <row r="10" spans="1:17">
      <c r="A10">
        <v>2032</v>
      </c>
      <c r="B10">
        <v>3769466258192480</v>
      </c>
      <c r="C10">
        <v>3682520589058260</v>
      </c>
      <c r="D10">
        <v>3853426702371430</v>
      </c>
      <c r="Q10" s="1"/>
    </row>
    <row r="11" spans="1:17">
      <c r="A11">
        <v>2033</v>
      </c>
      <c r="B11">
        <v>3854174993514160</v>
      </c>
      <c r="C11">
        <v>3721840513919480</v>
      </c>
      <c r="D11">
        <v>3983692574610340</v>
      </c>
      <c r="G11" s="2" t="s">
        <v>142</v>
      </c>
      <c r="Q11" s="23" t="s">
        <v>165</v>
      </c>
    </row>
    <row r="12" spans="1:17">
      <c r="A12">
        <v>2034</v>
      </c>
      <c r="B12">
        <v>3939137211206050</v>
      </c>
      <c r="C12">
        <v>3760140646520170</v>
      </c>
      <c r="D12">
        <v>4116668039490140</v>
      </c>
      <c r="G12" s="1"/>
    </row>
    <row r="13" spans="1:17">
      <c r="A13">
        <v>2035</v>
      </c>
      <c r="B13">
        <v>4024402849587050</v>
      </c>
      <c r="C13">
        <v>3797472593034260</v>
      </c>
      <c r="D13">
        <v>4252460343975200</v>
      </c>
      <c r="G13" s="23" t="s">
        <v>143</v>
      </c>
      <c r="Q13" s="2" t="s">
        <v>161</v>
      </c>
    </row>
    <row r="14" spans="1:17">
      <c r="A14">
        <v>2036</v>
      </c>
      <c r="B14">
        <v>4110019552594190</v>
      </c>
      <c r="C14">
        <v>3833884628889320</v>
      </c>
      <c r="D14">
        <v>4391177357760210</v>
      </c>
      <c r="G14" s="1"/>
      <c r="Q14" s="1"/>
    </row>
    <row r="15" spans="1:17">
      <c r="A15">
        <v>2037</v>
      </c>
      <c r="B15">
        <v>4196032917954240</v>
      </c>
      <c r="C15">
        <v>3869421989803410</v>
      </c>
      <c r="D15">
        <v>4532927809441380</v>
      </c>
      <c r="G15" s="11" t="s">
        <v>147</v>
      </c>
      <c r="Q15" s="11" t="s">
        <v>164</v>
      </c>
    </row>
    <row r="16" spans="1:17">
      <c r="A16">
        <v>2038</v>
      </c>
      <c r="B16">
        <v>4282486715294450</v>
      </c>
      <c r="C16">
        <v>3904127130201440</v>
      </c>
      <c r="D16">
        <v>4677821502061220</v>
      </c>
      <c r="G16" s="1"/>
      <c r="Q16" s="1"/>
    </row>
    <row r="17" spans="1:17">
      <c r="A17">
        <v>2039</v>
      </c>
      <c r="B17">
        <v>4369423078589520</v>
      </c>
      <c r="C17">
        <v>3938039953429270</v>
      </c>
      <c r="D17">
        <v>4825969511424610</v>
      </c>
      <c r="G17" s="23" t="s">
        <v>144</v>
      </c>
      <c r="Q17" s="11" t="s">
        <v>163</v>
      </c>
    </row>
    <row r="18" spans="1:17">
      <c r="A18">
        <v>2040</v>
      </c>
      <c r="B18">
        <v>4456882676604930</v>
      </c>
      <c r="C18">
        <v>3971198017490000</v>
      </c>
      <c r="D18">
        <v>4977484370008690</v>
      </c>
      <c r="G18" s="1"/>
      <c r="Q18" s="1"/>
    </row>
    <row r="19" spans="1:17">
      <c r="A19">
        <v>2041</v>
      </c>
      <c r="B19">
        <v>4544904864397950</v>
      </c>
      <c r="C19">
        <v>4003636719455730</v>
      </c>
      <c r="D19">
        <v>5132480238825950</v>
      </c>
      <c r="G19" s="11" t="s">
        <v>148</v>
      </c>
      <c r="Q19" s="23" t="s">
        <v>162</v>
      </c>
    </row>
    <row r="20" spans="1:17">
      <c r="A20">
        <v>2042</v>
      </c>
      <c r="B20">
        <v>4633527818449230</v>
      </c>
      <c r="C20">
        <v>4035389461236330</v>
      </c>
      <c r="D20">
        <v>5291073069222690</v>
      </c>
      <c r="G20" s="22"/>
    </row>
    <row r="21" spans="1:17">
      <c r="A21">
        <v>2043</v>
      </c>
      <c r="B21">
        <v>4722788657597150</v>
      </c>
      <c r="C21">
        <v>4066487798994630</v>
      </c>
      <c r="D21">
        <v>5453380756288260</v>
      </c>
      <c r="G21" s="11" t="s">
        <v>149</v>
      </c>
    </row>
    <row r="22" spans="1:17">
      <c r="A22">
        <v>2044</v>
      </c>
      <c r="B22">
        <v>4812723551616370</v>
      </c>
      <c r="C22">
        <v>4096961578169910</v>
      </c>
      <c r="D22">
        <v>5619523285298190</v>
      </c>
      <c r="G22" s="22"/>
    </row>
    <row r="23" spans="1:17">
      <c r="A23">
        <v>2045</v>
      </c>
      <c r="B23">
        <v>4903367819008300</v>
      </c>
      <c r="C23">
        <v>4126839055797750</v>
      </c>
      <c r="D23">
        <v>5789622872406930</v>
      </c>
      <c r="G23" s="11" t="s">
        <v>150</v>
      </c>
    </row>
    <row r="24" spans="1:17">
      <c r="A24">
        <v>2046</v>
      </c>
      <c r="B24">
        <v>4994756015342990</v>
      </c>
      <c r="C24">
        <v>4156147011583120</v>
      </c>
      <c r="D24">
        <v>5963804100633860</v>
      </c>
    </row>
    <row r="25" spans="1:17">
      <c r="A25">
        <v>2047</v>
      </c>
      <c r="B25">
        <v>5086922013301570</v>
      </c>
      <c r="C25">
        <v>4184910848988720</v>
      </c>
      <c r="D25">
        <v>6142194052043580</v>
      </c>
    </row>
    <row r="26" spans="1:17">
      <c r="A26">
        <v>2048</v>
      </c>
      <c r="B26">
        <v>5179899075408110</v>
      </c>
      <c r="C26">
        <v>4213154687435130</v>
      </c>
      <c r="D26">
        <v>6324922436902460</v>
      </c>
    </row>
    <row r="27" spans="1:17">
      <c r="A27">
        <v>2049</v>
      </c>
      <c r="B27">
        <v>5273719920305070</v>
      </c>
      <c r="C27">
        <v>4240901446568400</v>
      </c>
      <c r="D27">
        <v>6512121720493370</v>
      </c>
      <c r="G27" s="2" t="s">
        <v>151</v>
      </c>
      <c r="H27" s="11" t="s">
        <v>152</v>
      </c>
    </row>
    <row r="28" spans="1:17">
      <c r="A28">
        <v>2050</v>
      </c>
      <c r="B28">
        <v>5368416783312170</v>
      </c>
      <c r="C28">
        <v>4268172923430790</v>
      </c>
      <c r="D28">
        <v>6703927248187130</v>
      </c>
      <c r="H28" s="1"/>
    </row>
    <row r="29" spans="1:17">
      <c r="A29">
        <v>2051</v>
      </c>
      <c r="B29">
        <v>5464021471912120</v>
      </c>
      <c r="C29">
        <v>4294989863266850</v>
      </c>
      <c r="D29">
        <v>6900477369298470</v>
      </c>
      <c r="H29" s="11" t="s">
        <v>145</v>
      </c>
    </row>
    <row r="30" spans="1:17">
      <c r="A30">
        <v>2052</v>
      </c>
      <c r="B30">
        <v>5560565416723370</v>
      </c>
      <c r="C30">
        <v>4321372024608680</v>
      </c>
      <c r="D30">
        <v>7101913560194520</v>
      </c>
    </row>
    <row r="31" spans="1:17">
      <c r="A31">
        <v>2053</v>
      </c>
      <c r="B31">
        <v>5658079718450260</v>
      </c>
      <c r="C31">
        <v>4347338239207940</v>
      </c>
      <c r="D31">
        <v>7308380547073650</v>
      </c>
      <c r="G31" s="2" t="s">
        <v>172</v>
      </c>
    </row>
    <row r="32" spans="1:17">
      <c r="A32">
        <v>2054</v>
      </c>
      <c r="B32">
        <v>5756595191239830</v>
      </c>
      <c r="C32">
        <v>4372906467315670</v>
      </c>
      <c r="D32">
        <v>7520026428789380</v>
      </c>
    </row>
    <row r="33" spans="1:7">
      <c r="A33">
        <v>2055</v>
      </c>
      <c r="B33">
        <v>5856142402822860</v>
      </c>
      <c r="C33">
        <v>4398093848754030</v>
      </c>
      <c r="D33">
        <v>7737002800057680</v>
      </c>
      <c r="G33" t="s">
        <v>176</v>
      </c>
    </row>
    <row r="34" spans="1:7">
      <c r="A34">
        <v>2056</v>
      </c>
      <c r="B34">
        <v>5956751711771660</v>
      </c>
      <c r="C34">
        <v>4422916750174200</v>
      </c>
      <c r="D34">
        <v>7959464875355050</v>
      </c>
      <c r="G34" s="23" t="s">
        <v>173</v>
      </c>
    </row>
    <row r="35" spans="1:7">
      <c r="A35">
        <v>2057</v>
      </c>
      <c r="B35">
        <v>6058453302168350</v>
      </c>
      <c r="C35">
        <v>4447390808850860</v>
      </c>
      <c r="D35">
        <v>8187571613788100</v>
      </c>
      <c r="G35" s="23" t="s">
        <v>174</v>
      </c>
    </row>
    <row r="36" spans="1:7">
      <c r="A36">
        <v>2058</v>
      </c>
      <c r="B36">
        <v>6161277215943620</v>
      </c>
      <c r="C36">
        <v>4471530973326230</v>
      </c>
      <c r="D36">
        <v>8421485845193030</v>
      </c>
      <c r="G36" s="23" t="s">
        <v>175</v>
      </c>
    </row>
    <row r="37" spans="1:7">
      <c r="A37">
        <v>2059</v>
      </c>
      <c r="B37">
        <v>6265253383116620</v>
      </c>
      <c r="C37">
        <v>4495351541182750</v>
      </c>
      <c r="D37">
        <v>8661374397703820</v>
      </c>
    </row>
    <row r="38" spans="1:7">
      <c r="A38">
        <v>2060</v>
      </c>
      <c r="B38">
        <v>6370411650141310</v>
      </c>
      <c r="C38">
        <v>4518866194194850</v>
      </c>
      <c r="D38">
        <v>8907408227011900</v>
      </c>
      <c r="G38" s="2" t="s">
        <v>177</v>
      </c>
    </row>
    <row r="39" spans="1:7">
      <c r="A39">
        <v>2061</v>
      </c>
      <c r="B39">
        <v>6476781806541830</v>
      </c>
      <c r="C39">
        <v>4542088031083940</v>
      </c>
      <c r="D39">
        <v>9159762547525710</v>
      </c>
      <c r="G39" s="11" t="s">
        <v>178</v>
      </c>
    </row>
    <row r="40" spans="1:7">
      <c r="A40">
        <v>2062</v>
      </c>
      <c r="B40">
        <v>6584393610000390</v>
      </c>
      <c r="C40">
        <v>4565029598078400</v>
      </c>
      <c r="D40">
        <v>9418616965626870</v>
      </c>
      <c r="G40" s="11" t="s">
        <v>179</v>
      </c>
    </row>
    <row r="41" spans="1:7">
      <c r="A41">
        <v>2063</v>
      </c>
      <c r="B41">
        <v>6693276810043620</v>
      </c>
      <c r="C41">
        <v>4587702917460220</v>
      </c>
      <c r="D41">
        <v>9684155615209570</v>
      </c>
      <c r="G41" s="11" t="s">
        <v>180</v>
      </c>
    </row>
    <row r="42" spans="1:7">
      <c r="A42">
        <v>2064</v>
      </c>
      <c r="B42">
        <v>6803461170458260</v>
      </c>
      <c r="C42">
        <v>4610119514261970</v>
      </c>
      <c r="D42">
        <v>9956567295681180</v>
      </c>
      <c r="G42" s="11" t="s">
        <v>181</v>
      </c>
    </row>
    <row r="43" spans="1:7">
      <c r="A43">
        <v>2065</v>
      </c>
      <c r="B43">
        <v>6914976490554050</v>
      </c>
      <c r="C43">
        <v>4632290441262150</v>
      </c>
      <c r="D43" s="19">
        <v>1.02360456125949E+16</v>
      </c>
      <c r="G43" s="11" t="s">
        <v>182</v>
      </c>
    </row>
    <row r="45" spans="1:7">
      <c r="A45" t="s">
        <v>156</v>
      </c>
      <c r="G45" s="2" t="s">
        <v>183</v>
      </c>
    </row>
    <row r="46" spans="1:7">
      <c r="A46" t="s">
        <v>135</v>
      </c>
      <c r="B46" t="s">
        <v>157</v>
      </c>
      <c r="C46" t="s">
        <v>158</v>
      </c>
      <c r="D46" t="s">
        <v>159</v>
      </c>
      <c r="G46" s="11" t="s">
        <v>184</v>
      </c>
    </row>
    <row r="47" spans="1:7">
      <c r="A47">
        <v>2025</v>
      </c>
      <c r="B47">
        <v>2950728390885500</v>
      </c>
      <c r="C47">
        <v>2879112186440770</v>
      </c>
      <c r="D47">
        <v>2742037078011820</v>
      </c>
      <c r="G47" s="11" t="s">
        <v>185</v>
      </c>
    </row>
    <row r="48" spans="1:7">
      <c r="A48">
        <v>2026</v>
      </c>
      <c r="B48">
        <v>3074695589995840</v>
      </c>
      <c r="C48">
        <v>3014849289482510</v>
      </c>
      <c r="D48">
        <v>2899461825171330</v>
      </c>
      <c r="G48" s="11" t="s">
        <v>186</v>
      </c>
    </row>
    <row r="49" spans="1:7">
      <c r="A49">
        <v>2027</v>
      </c>
      <c r="B49">
        <v>3201535636055590</v>
      </c>
      <c r="C49">
        <v>3154684643741090</v>
      </c>
      <c r="D49">
        <v>3063689815859950</v>
      </c>
    </row>
    <row r="50" spans="1:7">
      <c r="A50">
        <v>2028</v>
      </c>
      <c r="B50">
        <v>3331378778997740</v>
      </c>
      <c r="C50">
        <v>3298798253165070</v>
      </c>
      <c r="D50">
        <v>3235054861526010</v>
      </c>
      <c r="G50" s="2" t="s">
        <v>187</v>
      </c>
    </row>
    <row r="51" spans="1:7">
      <c r="A51">
        <v>2029</v>
      </c>
      <c r="B51">
        <v>3464355302775990</v>
      </c>
      <c r="C51">
        <v>3447373168938860</v>
      </c>
      <c r="D51">
        <v>3413903526521970</v>
      </c>
      <c r="G51" s="11" t="s">
        <v>188</v>
      </c>
    </row>
    <row r="52" spans="1:7">
      <c r="A52">
        <v>2030</v>
      </c>
      <c r="B52">
        <v>3600596000000000</v>
      </c>
      <c r="C52">
        <v>3600596000000000</v>
      </c>
      <c r="D52">
        <v>3600596000000000</v>
      </c>
      <c r="G52" s="11" t="s">
        <v>189</v>
      </c>
    </row>
    <row r="53" spans="1:7">
      <c r="A53">
        <v>2031</v>
      </c>
      <c r="B53">
        <v>3740232589610620</v>
      </c>
      <c r="C53">
        <v>3758657380692450</v>
      </c>
      <c r="D53">
        <v>3795506962856100</v>
      </c>
      <c r="G53" s="11" t="s">
        <v>190</v>
      </c>
    </row>
    <row r="54" spans="1:7">
      <c r="A54">
        <v>2032</v>
      </c>
      <c r="B54">
        <v>3883398088533330</v>
      </c>
      <c r="C54">
        <v>3921752404872800</v>
      </c>
      <c r="D54">
        <v>3999026457448630</v>
      </c>
      <c r="G54" s="11" t="s">
        <v>191</v>
      </c>
    </row>
    <row r="55" spans="1:7">
      <c r="A55">
        <v>2033</v>
      </c>
      <c r="B55">
        <v>4030227146007360</v>
      </c>
      <c r="C55">
        <v>4090081033912730</v>
      </c>
      <c r="D55">
        <v>4211560766545630</v>
      </c>
      <c r="G55" s="11" t="s">
        <v>192</v>
      </c>
    </row>
    <row r="56" spans="1:7">
      <c r="A56">
        <v>2034</v>
      </c>
      <c r="B56">
        <v>4180856347564270</v>
      </c>
      <c r="C56">
        <v>4263848484601530</v>
      </c>
      <c r="D56">
        <v>4433533306996500</v>
      </c>
      <c r="G56" s="11"/>
    </row>
    <row r="57" spans="1:7">
      <c r="A57">
        <v>2035</v>
      </c>
      <c r="B57">
        <v>4335424494290660</v>
      </c>
      <c r="C57">
        <v>4443265601837660</v>
      </c>
      <c r="D57">
        <v>4665385542897000</v>
      </c>
      <c r="G57" t="s">
        <v>169</v>
      </c>
    </row>
    <row r="58" spans="1:7">
      <c r="A58">
        <v>2036</v>
      </c>
      <c r="B58">
        <v>4494072861962900</v>
      </c>
      <c r="C58">
        <v>4628549220128830</v>
      </c>
      <c r="D58">
        <v>4907577922467270</v>
      </c>
      <c r="G58" t="s">
        <v>170</v>
      </c>
    </row>
    <row r="59" spans="1:7">
      <c r="A59">
        <v>2037</v>
      </c>
      <c r="B59">
        <v>4656945443816050</v>
      </c>
      <c r="C59">
        <v>4819922517236900</v>
      </c>
      <c r="D59">
        <v>5160590842448320</v>
      </c>
      <c r="G59" t="s">
        <v>171</v>
      </c>
    </row>
    <row r="60" spans="1:7">
      <c r="A60">
        <v>2038</v>
      </c>
      <c r="B60">
        <v>4824189180054690</v>
      </c>
      <c r="C60">
        <v>5017615362764300</v>
      </c>
      <c r="D60">
        <v>5424925643512090</v>
      </c>
    </row>
    <row r="61" spans="1:7">
      <c r="A61">
        <v>2039</v>
      </c>
      <c r="B61">
        <v>4995954176690050</v>
      </c>
      <c r="C61">
        <v>5221864664049760</v>
      </c>
      <c r="D61">
        <v>5701105639952210</v>
      </c>
    </row>
    <row r="62" spans="1:7">
      <c r="A62">
        <v>2040</v>
      </c>
      <c r="B62">
        <v>5172393915868070</v>
      </c>
      <c r="C62">
        <v>5432914711398780</v>
      </c>
      <c r="D62">
        <v>5989677186758470</v>
      </c>
    </row>
    <row r="63" spans="1:7">
      <c r="A63">
        <v>2041</v>
      </c>
      <c r="B63">
        <v>5353665459513370</v>
      </c>
      <c r="C63">
        <v>5651017524400040</v>
      </c>
      <c r="D63">
        <v>6291210787065010</v>
      </c>
      <c r="G63" s="2" t="s">
        <v>264</v>
      </c>
    </row>
    <row r="64" spans="1:7">
      <c r="A64">
        <v>2042</v>
      </c>
      <c r="B64">
        <v>5539929647838990</v>
      </c>
      <c r="C64">
        <v>5876433200857910</v>
      </c>
      <c r="D64">
        <v>6606302242891670</v>
      </c>
      <c r="G64" s="1"/>
    </row>
    <row r="65" spans="1:7">
      <c r="A65">
        <v>2043</v>
      </c>
      <c r="B65">
        <v>5731351294046760</v>
      </c>
      <c r="C65">
        <v>6109430269693760</v>
      </c>
      <c r="D65">
        <v>6935573852059980</v>
      </c>
      <c r="G65" s="23" t="s">
        <v>262</v>
      </c>
    </row>
    <row r="66" spans="1:7">
      <c r="A66">
        <v>2044</v>
      </c>
      <c r="B66">
        <v>5928099376359110</v>
      </c>
      <c r="C66">
        <v>6350286049024730</v>
      </c>
      <c r="D66">
        <v>7279675654156680</v>
      </c>
      <c r="G66" s="1"/>
    </row>
    <row r="67" spans="1:7">
      <c r="A67">
        <v>2045</v>
      </c>
      <c r="B67">
        <v>6130347228371830</v>
      </c>
      <c r="C67">
        <v>6599287010512790</v>
      </c>
      <c r="D67">
        <v>7639286728431440</v>
      </c>
      <c r="G67" s="23" t="s">
        <v>263</v>
      </c>
    </row>
    <row r="68" spans="1:7">
      <c r="A68">
        <v>2046</v>
      </c>
      <c r="B68">
        <v>6338272728592250</v>
      </c>
      <c r="C68">
        <v>6856729150983430</v>
      </c>
      <c r="D68">
        <v>8015116546550300</v>
      </c>
    </row>
    <row r="69" spans="1:7">
      <c r="A69">
        <v>2047</v>
      </c>
      <c r="B69">
        <v>6552058489923740</v>
      </c>
      <c r="C69">
        <v>7122918372237810</v>
      </c>
      <c r="D69">
        <v>8407906383178010</v>
      </c>
    </row>
    <row r="70" spans="1:7">
      <c r="A70">
        <v>2048</v>
      </c>
      <c r="B70">
        <v>6771892049771690</v>
      </c>
      <c r="C70">
        <v>7398170869922140</v>
      </c>
      <c r="D70">
        <v>8818430787429620</v>
      </c>
      <c r="G70" s="2" t="s">
        <v>265</v>
      </c>
    </row>
    <row r="71" spans="1:7">
      <c r="A71">
        <v>2049</v>
      </c>
      <c r="B71">
        <v>6997966061374670</v>
      </c>
      <c r="C71">
        <v>7682813532270260</v>
      </c>
      <c r="D71">
        <v>9247499118312460</v>
      </c>
      <c r="G71" s="2" t="s">
        <v>266</v>
      </c>
    </row>
    <row r="72" spans="1:7">
      <c r="A72">
        <v>2050</v>
      </c>
      <c r="B72">
        <v>7230478486904740</v>
      </c>
      <c r="C72">
        <v>7977184349497630</v>
      </c>
      <c r="D72">
        <v>9695957147373050</v>
      </c>
    </row>
    <row r="73" spans="1:7">
      <c r="A73">
        <v>2051</v>
      </c>
      <c r="B73">
        <v>7469632792831540</v>
      </c>
      <c r="C73">
        <v>8281632834596590</v>
      </c>
      <c r="D73" s="19">
        <v>1.01646887318682E+16</v>
      </c>
      <c r="G73" s="2" t="s">
        <v>267</v>
      </c>
    </row>
    <row r="74" spans="1:7">
      <c r="A74">
        <v>2052</v>
      </c>
      <c r="B74">
        <v>7715638148003160</v>
      </c>
      <c r="C74">
        <v>8596520456260610</v>
      </c>
      <c r="D74" s="19">
        <v>1.06546175618956E+16</v>
      </c>
    </row>
    <row r="75" spans="1:7">
      <c r="A75">
        <v>2053</v>
      </c>
      <c r="B75">
        <v>7968709624862230</v>
      </c>
      <c r="C75">
        <v>8922221084650410</v>
      </c>
      <c r="D75" s="19">
        <v>1.1166708985044E+16</v>
      </c>
      <c r="G75" s="2" t="s">
        <v>268</v>
      </c>
    </row>
    <row r="76" spans="1:7">
      <c r="A76">
        <v>2054</v>
      </c>
      <c r="B76">
        <v>8229068404187210</v>
      </c>
      <c r="C76">
        <v>9259121450704470</v>
      </c>
      <c r="D76" s="19">
        <v>1.17019719122608E+16</v>
      </c>
    </row>
    <row r="77" spans="1:7">
      <c r="A77">
        <v>2055</v>
      </c>
      <c r="B77">
        <v>8496941983724600</v>
      </c>
      <c r="C77">
        <v>9607621619690860</v>
      </c>
      <c r="D77" s="19">
        <v>1.22614608087791E+16</v>
      </c>
    </row>
    <row r="78" spans="1:7">
      <c r="A78">
        <v>2056</v>
      </c>
      <c r="B78">
        <v>8772564391058510</v>
      </c>
      <c r="C78">
        <v>9968135479696030</v>
      </c>
      <c r="D78" s="19">
        <v>1.28462777741023E+16</v>
      </c>
    </row>
    <row r="79" spans="1:7">
      <c r="A79">
        <v>2057</v>
      </c>
      <c r="B79">
        <v>9056176401047420</v>
      </c>
      <c r="C79" s="19">
        <v>1.03410912457476E+16</v>
      </c>
      <c r="D79" s="19">
        <v>1.34575747152087E+16</v>
      </c>
    </row>
    <row r="80" spans="1:7">
      <c r="A80">
        <v>2058</v>
      </c>
      <c r="B80">
        <v>9348025758145240</v>
      </c>
      <c r="C80" s="19">
        <v>1.07269319802742E+16</v>
      </c>
      <c r="D80" s="19">
        <v>1.40965556173138E+16</v>
      </c>
    </row>
    <row r="81" spans="1:4">
      <c r="A81">
        <v>2059</v>
      </c>
      <c r="B81">
        <v>9648367403912800</v>
      </c>
      <c r="C81" s="19">
        <v>1.11261161306103E+16</v>
      </c>
      <c r="D81" s="19">
        <v>1.47644789167119E+16</v>
      </c>
    </row>
    <row r="82" spans="1:4">
      <c r="A82">
        <v>2060</v>
      </c>
      <c r="B82">
        <v>9957463710017900</v>
      </c>
      <c r="C82" s="19">
        <v>1.15391180842693E+16</v>
      </c>
      <c r="D82" s="19">
        <v>1.54626599804132E+16</v>
      </c>
    </row>
    <row r="83" spans="1:4">
      <c r="A83">
        <v>2061</v>
      </c>
      <c r="B83" s="19">
        <v>1.02755847170155E+16</v>
      </c>
      <c r="C83" s="19">
        <v>1.19664287427135E+16</v>
      </c>
      <c r="D83" s="19">
        <v>1.61924736974966E+16</v>
      </c>
    </row>
    <row r="84" spans="1:4">
      <c r="A84">
        <v>2062</v>
      </c>
      <c r="B84" s="19">
        <v>1.0603008379195E+16</v>
      </c>
      <c r="C84" s="19">
        <v>1.24085561143706E+16</v>
      </c>
      <c r="D84" s="19">
        <v>1.6955357187314E+16</v>
      </c>
    </row>
    <row r="85" spans="1:4">
      <c r="A85">
        <v>2063</v>
      </c>
      <c r="B85" s="19">
        <v>1.09400208157782E+16</v>
      </c>
      <c r="C85" s="19">
        <v>1.2866025927658E+16</v>
      </c>
      <c r="D85" s="19">
        <v>1.77528126299065E+16</v>
      </c>
    </row>
    <row r="86" spans="1:4">
      <c r="A86">
        <v>2064</v>
      </c>
      <c r="B86" s="19">
        <v>1.12869165687504E+16</v>
      </c>
      <c r="C86" s="19">
        <v>1.33393822647964E+16</v>
      </c>
      <c r="D86" s="19">
        <v>1.8586410224232E+16</v>
      </c>
    </row>
    <row r="87" spans="1:4">
      <c r="A87">
        <v>2065</v>
      </c>
      <c r="B87" s="19">
        <v>1.1643998867605E+16</v>
      </c>
      <c r="C87" s="19">
        <v>1.38291882172137E+16</v>
      </c>
      <c r="D87" s="19">
        <v>1.94577912800481E+16</v>
      </c>
    </row>
  </sheetData>
  <mergeCells count="1">
    <mergeCell ref="G1:M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A13F-23B1-4949-80DF-12647307DEA4}">
  <dimension ref="A1:K62"/>
  <sheetViews>
    <sheetView zoomScale="55" zoomScaleNormal="55" workbookViewId="0">
      <selection activeCell="D21" sqref="D21"/>
    </sheetView>
  </sheetViews>
  <sheetFormatPr defaultRowHeight="17.399999999999999"/>
  <cols>
    <col min="2" max="2" width="20.59765625" customWidth="1"/>
    <col min="3" max="3" width="19.8984375" customWidth="1"/>
    <col min="4" max="4" width="17.59765625" customWidth="1"/>
    <col min="5" max="5" width="17" customWidth="1"/>
    <col min="6" max="6" width="15.09765625" customWidth="1"/>
  </cols>
  <sheetData>
    <row r="1" spans="1:11">
      <c r="A1" t="s">
        <v>269</v>
      </c>
    </row>
    <row r="2" spans="1:11" ht="34.799999999999997">
      <c r="A2" t="s">
        <v>270</v>
      </c>
      <c r="B2" t="s">
        <v>271</v>
      </c>
      <c r="C2" t="s">
        <v>272</v>
      </c>
      <c r="D2" t="s">
        <v>273</v>
      </c>
      <c r="E2" t="s">
        <v>274</v>
      </c>
      <c r="G2" s="4" t="s">
        <v>284</v>
      </c>
      <c r="H2" s="4" t="s">
        <v>271</v>
      </c>
      <c r="I2" s="4" t="s">
        <v>285</v>
      </c>
      <c r="J2" s="4" t="s">
        <v>286</v>
      </c>
      <c r="K2" s="4" t="s">
        <v>287</v>
      </c>
    </row>
    <row r="3" spans="1:11">
      <c r="A3" t="s">
        <v>275</v>
      </c>
      <c r="B3">
        <v>-170.90700000000001</v>
      </c>
      <c r="C3">
        <v>194601241338220</v>
      </c>
      <c r="D3">
        <v>231177887863407</v>
      </c>
      <c r="G3" s="5" t="s">
        <v>288</v>
      </c>
      <c r="H3" s="5" t="s">
        <v>289</v>
      </c>
      <c r="I3" s="5" t="s">
        <v>290</v>
      </c>
      <c r="J3" s="5" t="s">
        <v>291</v>
      </c>
      <c r="K3" s="5" t="s">
        <v>292</v>
      </c>
    </row>
    <row r="4" spans="1:11">
      <c r="A4" t="s">
        <v>276</v>
      </c>
      <c r="B4">
        <v>-170.79599999999999</v>
      </c>
      <c r="C4">
        <v>32388509172392.699</v>
      </c>
      <c r="D4">
        <v>38711504684168</v>
      </c>
      <c r="G4" s="5" t="s">
        <v>293</v>
      </c>
      <c r="H4" s="5" t="s">
        <v>294</v>
      </c>
      <c r="I4" s="25" t="s">
        <v>295</v>
      </c>
      <c r="J4" s="25" t="s">
        <v>296</v>
      </c>
      <c r="K4" s="5" t="s">
        <v>292</v>
      </c>
    </row>
    <row r="5" spans="1:11">
      <c r="A5" t="s">
        <v>277</v>
      </c>
      <c r="B5">
        <v>-169.00299999999999</v>
      </c>
      <c r="C5">
        <v>199074641553717</v>
      </c>
      <c r="D5">
        <v>236198474812103</v>
      </c>
      <c r="G5" s="5" t="s">
        <v>297</v>
      </c>
      <c r="H5" s="5" t="s">
        <v>298</v>
      </c>
      <c r="I5" s="5" t="s">
        <v>299</v>
      </c>
      <c r="J5" s="5" t="s">
        <v>300</v>
      </c>
      <c r="K5" s="5" t="s">
        <v>292</v>
      </c>
    </row>
    <row r="6" spans="1:11">
      <c r="A6" t="s">
        <v>278</v>
      </c>
      <c r="B6">
        <v>-167.404</v>
      </c>
      <c r="C6">
        <v>173283036261239</v>
      </c>
      <c r="D6">
        <v>204338822066079</v>
      </c>
      <c r="G6" s="5" t="s">
        <v>301</v>
      </c>
      <c r="H6" s="5" t="s">
        <v>302</v>
      </c>
      <c r="I6" s="5" t="s">
        <v>303</v>
      </c>
      <c r="J6" s="5" t="s">
        <v>304</v>
      </c>
      <c r="K6" s="5" t="s">
        <v>292</v>
      </c>
    </row>
    <row r="7" spans="1:11">
      <c r="A7" t="s">
        <v>279</v>
      </c>
      <c r="B7">
        <v>-166.577</v>
      </c>
      <c r="C7">
        <v>160694214196679</v>
      </c>
      <c r="D7">
        <v>188944754364889</v>
      </c>
      <c r="G7" s="5" t="s">
        <v>305</v>
      </c>
      <c r="H7" s="5" t="s">
        <v>306</v>
      </c>
      <c r="I7" s="5" t="s">
        <v>307</v>
      </c>
      <c r="J7" s="5" t="s">
        <v>308</v>
      </c>
      <c r="K7" s="5" t="s">
        <v>292</v>
      </c>
    </row>
    <row r="8" spans="1:11">
      <c r="A8" t="s">
        <v>280</v>
      </c>
      <c r="B8">
        <v>-152.53800000000001</v>
      </c>
      <c r="C8">
        <v>195696611211458</v>
      </c>
      <c r="D8">
        <v>232593502843369</v>
      </c>
    </row>
    <row r="9" spans="1:11">
      <c r="A9" t="s">
        <v>281</v>
      </c>
      <c r="B9">
        <v>-117.08499999999999</v>
      </c>
      <c r="C9">
        <v>269008640875222</v>
      </c>
      <c r="D9">
        <v>318484663588305</v>
      </c>
    </row>
    <row r="10" spans="1:11">
      <c r="A10" t="s">
        <v>282</v>
      </c>
      <c r="B10">
        <v>-90.27</v>
      </c>
      <c r="C10">
        <v>260351220683321</v>
      </c>
      <c r="D10">
        <v>310074918378900</v>
      </c>
    </row>
    <row r="11" spans="1:11">
      <c r="A11" t="s">
        <v>283</v>
      </c>
      <c r="B11">
        <v>-29.306000000000001</v>
      </c>
      <c r="C11">
        <v>273346839999996</v>
      </c>
      <c r="D11">
        <v>321064155324710</v>
      </c>
    </row>
    <row r="13" spans="1:11">
      <c r="A13" s="2" t="s">
        <v>309</v>
      </c>
    </row>
    <row r="15" spans="1:11">
      <c r="A15" s="2" t="s">
        <v>310</v>
      </c>
    </row>
    <row r="17" spans="1:6">
      <c r="A17" s="2" t="s">
        <v>311</v>
      </c>
    </row>
    <row r="18" spans="1:6">
      <c r="A18" t="s">
        <v>312</v>
      </c>
    </row>
    <row r="21" spans="1:6">
      <c r="A21" t="s">
        <v>135</v>
      </c>
      <c r="B21" t="s">
        <v>313</v>
      </c>
      <c r="C21" t="s">
        <v>153</v>
      </c>
      <c r="D21" t="s">
        <v>314</v>
      </c>
      <c r="E21" t="s">
        <v>154</v>
      </c>
      <c r="F21" t="s">
        <v>136</v>
      </c>
    </row>
    <row r="22" spans="1:6">
      <c r="A22">
        <v>2025</v>
      </c>
      <c r="B22">
        <v>2710933047875290</v>
      </c>
      <c r="C22">
        <v>3373770694059040</v>
      </c>
      <c r="D22">
        <v>3179011420657430</v>
      </c>
      <c r="E22">
        <v>3008645540656280</v>
      </c>
      <c r="F22">
        <v>2710933047875290</v>
      </c>
    </row>
    <row r="23" spans="1:6">
      <c r="A23">
        <v>2026</v>
      </c>
      <c r="B23">
        <v>2873741437607690</v>
      </c>
      <c r="C23">
        <v>3422039562558230</v>
      </c>
      <c r="D23">
        <v>3263615112408000</v>
      </c>
      <c r="E23">
        <v>3122967226254870</v>
      </c>
      <c r="F23">
        <v>2873741437607690</v>
      </c>
    </row>
    <row r="24" spans="1:6">
      <c r="A24">
        <v>2027</v>
      </c>
      <c r="B24">
        <v>3044589465827880</v>
      </c>
      <c r="C24">
        <v>3468799715831660</v>
      </c>
      <c r="D24">
        <v>3348028209579620</v>
      </c>
      <c r="E24">
        <v>3239238781697620</v>
      </c>
      <c r="F24">
        <v>3044589465827880</v>
      </c>
    </row>
    <row r="25" spans="1:6">
      <c r="A25">
        <v>2028</v>
      </c>
      <c r="B25">
        <v>3222967215365530</v>
      </c>
      <c r="C25">
        <v>3514138400401410</v>
      </c>
      <c r="D25">
        <v>3432327666461920</v>
      </c>
      <c r="E25">
        <v>3357572598485640</v>
      </c>
      <c r="F25">
        <v>3222967215365530</v>
      </c>
    </row>
    <row r="26" spans="1:6">
      <c r="A26">
        <v>2029</v>
      </c>
      <c r="B26">
        <v>3408491555288080</v>
      </c>
      <c r="C26">
        <v>3558135969648750</v>
      </c>
      <c r="D26">
        <v>3516584928719950</v>
      </c>
      <c r="E26">
        <v>3478078964358750</v>
      </c>
      <c r="F26">
        <v>3408491555288080</v>
      </c>
    </row>
    <row r="27" spans="1:6">
      <c r="A27">
        <v>2030</v>
      </c>
      <c r="B27">
        <v>3600866630772470</v>
      </c>
      <c r="C27">
        <v>3600866630772470</v>
      </c>
      <c r="D27">
        <v>3600866630772470</v>
      </c>
      <c r="E27">
        <v>3600866630772470</v>
      </c>
      <c r="F27">
        <v>3600866630772470</v>
      </c>
    </row>
    <row r="28" spans="1:6">
      <c r="A28">
        <v>2031</v>
      </c>
      <c r="C28">
        <v>3642399088862630</v>
      </c>
      <c r="D28">
        <v>3685235188035560</v>
      </c>
      <c r="E28">
        <v>3726043300668300</v>
      </c>
      <c r="F28">
        <v>3685235188035560</v>
      </c>
    </row>
    <row r="29" spans="1:6">
      <c r="A29">
        <v>2032</v>
      </c>
      <c r="C29">
        <v>3682797105038290</v>
      </c>
      <c r="D29">
        <v>3769749302816780</v>
      </c>
      <c r="E29">
        <v>3853716051483090</v>
      </c>
      <c r="F29">
        <v>3769749302816780</v>
      </c>
    </row>
    <row r="30" spans="1:6">
      <c r="A30">
        <v>2033</v>
      </c>
      <c r="C30">
        <v>3722119982384720</v>
      </c>
      <c r="D30">
        <v>3854464398814080</v>
      </c>
      <c r="E30">
        <v>3983991705227480</v>
      </c>
      <c r="F30">
        <v>3854464398814080</v>
      </c>
    </row>
    <row r="31" spans="1:6">
      <c r="A31">
        <v>2034</v>
      </c>
      <c r="C31">
        <v>3760422990895660</v>
      </c>
      <c r="D31">
        <v>3939432996215290</v>
      </c>
      <c r="E31">
        <v>4116977155072760</v>
      </c>
      <c r="F31">
        <v>3939432996215290</v>
      </c>
    </row>
    <row r="32" spans="1:6">
      <c r="A32">
        <v>2035</v>
      </c>
      <c r="C32">
        <v>3797757740620080</v>
      </c>
      <c r="D32">
        <v>4024705037089090</v>
      </c>
      <c r="E32">
        <v>4252779656036360</v>
      </c>
      <c r="F32">
        <v>4024705037089090</v>
      </c>
    </row>
    <row r="33" spans="1:6">
      <c r="A33">
        <v>2036</v>
      </c>
      <c r="C33">
        <v>3834172510610510</v>
      </c>
      <c r="D33">
        <v>4110328168950040</v>
      </c>
      <c r="E33">
        <v>4391507085912770</v>
      </c>
      <c r="F33">
        <v>4110328168950040</v>
      </c>
    </row>
    <row r="34" spans="1:6">
      <c r="A34">
        <v>2037</v>
      </c>
      <c r="C34">
        <v>3869712539981690</v>
      </c>
      <c r="D34">
        <v>4196347992948800</v>
      </c>
      <c r="E34">
        <v>4533268181462480</v>
      </c>
      <c r="F34">
        <v>4196347992948800</v>
      </c>
    </row>
    <row r="35" spans="1:6">
      <c r="A35">
        <v>2038</v>
      </c>
      <c r="C35">
        <v>3904420286346390</v>
      </c>
      <c r="D35">
        <v>4282808281999220</v>
      </c>
      <c r="E35">
        <v>4678172753973000</v>
      </c>
      <c r="F35">
        <v>4282808281999220</v>
      </c>
    </row>
    <row r="36" spans="1:6">
      <c r="A36">
        <v>2039</v>
      </c>
      <c r="C36">
        <v>3938335656046760</v>
      </c>
      <c r="D36">
        <v>4369751173239790</v>
      </c>
      <c r="E36">
        <v>4826331887589740</v>
      </c>
      <c r="F36">
        <v>4369751173239790</v>
      </c>
    </row>
    <row r="37" spans="1:6">
      <c r="A37">
        <v>2040</v>
      </c>
      <c r="C37">
        <v>3971496209906080</v>
      </c>
      <c r="D37">
        <v>4457217338489750</v>
      </c>
      <c r="E37">
        <v>4977858123239770</v>
      </c>
      <c r="F37">
        <v>4457217338489750</v>
      </c>
    </row>
    <row r="38" spans="1:6">
      <c r="A38">
        <v>2041</v>
      </c>
      <c r="C38">
        <v>4003937347654380</v>
      </c>
      <c r="D38">
        <v>4545246135761500</v>
      </c>
      <c r="E38">
        <v>5132865630507800</v>
      </c>
      <c r="F38">
        <v>4545246135761500</v>
      </c>
    </row>
    <row r="39" spans="1:6">
      <c r="A39">
        <v>2042</v>
      </c>
      <c r="C39">
        <v>4035692473709640</v>
      </c>
      <c r="D39">
        <v>4633875744402320</v>
      </c>
      <c r="E39">
        <v>5291470369446760</v>
      </c>
      <c r="F39">
        <v>4633875744402320</v>
      </c>
    </row>
    <row r="40" spans="1:6">
      <c r="A40">
        <v>2043</v>
      </c>
      <c r="C40">
        <v>4066793146604200</v>
      </c>
      <c r="D40">
        <v>4723143286037790</v>
      </c>
      <c r="E40">
        <v>5453790243998610</v>
      </c>
      <c r="F40">
        <v>4723143286037790</v>
      </c>
    </row>
    <row r="41" spans="1:6">
      <c r="A41">
        <v>2044</v>
      </c>
      <c r="C41">
        <v>4097269214018390</v>
      </c>
      <c r="D41">
        <v>4813084933158530</v>
      </c>
      <c r="E41">
        <v>5619945248448420</v>
      </c>
      <c r="F41">
        <v>4813084933158530</v>
      </c>
    </row>
    <row r="42" spans="1:6">
      <c r="A42">
        <v>2045</v>
      </c>
      <c r="C42">
        <v>4127148935109590</v>
      </c>
      <c r="D42">
        <v>4903736006917950</v>
      </c>
      <c r="E42">
        <v>5790057608127720</v>
      </c>
      <c r="F42">
        <v>4903736006917950</v>
      </c>
    </row>
    <row r="43" spans="1:6">
      <c r="A43">
        <v>2046</v>
      </c>
      <c r="C43">
        <v>4156459091593610</v>
      </c>
      <c r="D43">
        <v>4995131065480850</v>
      </c>
      <c r="E43">
        <v>5964251915410650</v>
      </c>
      <c r="F43">
        <v>4995131065480850</v>
      </c>
    </row>
    <row r="44" spans="1:6">
      <c r="A44">
        <v>2047</v>
      </c>
      <c r="C44">
        <v>4185225088840690</v>
      </c>
      <c r="D44">
        <v>5087303984071820</v>
      </c>
      <c r="E44">
        <v>6142655261904270</v>
      </c>
      <c r="F44">
        <v>5087303984071820</v>
      </c>
    </row>
    <row r="45" spans="1:6">
      <c r="A45">
        <v>2048</v>
      </c>
      <c r="C45">
        <v>4213471048082480</v>
      </c>
      <c r="D45">
        <v>5180288027712570</v>
      </c>
      <c r="E45">
        <v>6325397367614730</v>
      </c>
      <c r="F45">
        <v>5180288027712570</v>
      </c>
    </row>
    <row r="46" spans="1:6">
      <c r="A46">
        <v>2049</v>
      </c>
      <c r="C46">
        <v>4241219890686050</v>
      </c>
      <c r="D46">
        <v>5274115917502350</v>
      </c>
      <c r="E46">
        <v>6512610707771540</v>
      </c>
      <c r="F46">
        <v>5274115917502350</v>
      </c>
    </row>
    <row r="47" spans="1:6">
      <c r="A47">
        <v>2050</v>
      </c>
      <c r="C47">
        <v>4268493415330390</v>
      </c>
      <c r="D47">
        <v>5368819891181410</v>
      </c>
      <c r="E47">
        <v>6704430637908460</v>
      </c>
      <c r="F47">
        <v>5368819891181410</v>
      </c>
    </row>
    <row r="48" spans="1:6">
      <c r="A48">
        <v>2051</v>
      </c>
      <c r="C48">
        <v>4295312368817750</v>
      </c>
      <c r="D48">
        <v>5464431758620830</v>
      </c>
      <c r="E48">
        <v>6900995517728690</v>
      </c>
      <c r="F48">
        <v>5464431758620830</v>
      </c>
    </row>
    <row r="49" spans="1:6">
      <c r="A49">
        <v>2052</v>
      </c>
      <c r="C49">
        <v>4321696511163900</v>
      </c>
      <c r="D49">
        <v>5560982952799160</v>
      </c>
      <c r="E49">
        <v>7102446834222660</v>
      </c>
      <c r="F49">
        <v>5560982952799160</v>
      </c>
    </row>
    <row r="50" spans="1:6">
      <c r="A50">
        <v>2053</v>
      </c>
      <c r="C50">
        <v>4347664675534550</v>
      </c>
      <c r="D50">
        <v>5658504576756040</v>
      </c>
      <c r="E50">
        <v>7308929324456040</v>
      </c>
      <c r="F50">
        <v>5658504576756040</v>
      </c>
    </row>
    <row r="51" spans="1:6">
      <c r="A51">
        <v>2054</v>
      </c>
      <c r="C51">
        <v>4373234823529340</v>
      </c>
      <c r="D51">
        <v>5757027446952320</v>
      </c>
      <c r="E51">
        <v>7520591098402910</v>
      </c>
      <c r="F51">
        <v>5757027446952320</v>
      </c>
    </row>
    <row r="52" spans="1:6">
      <c r="A52">
        <v>2055</v>
      </c>
      <c r="C52">
        <v>4398424096257460</v>
      </c>
      <c r="D52">
        <v>5856582133414060</v>
      </c>
      <c r="E52">
        <v>7737583762162320</v>
      </c>
      <c r="F52">
        <v>5856582133414060</v>
      </c>
    </row>
    <row r="53" spans="1:6">
      <c r="A53">
        <v>2056</v>
      </c>
      <c r="C53">
        <v>4423248861599020</v>
      </c>
      <c r="D53">
        <v>5957198996993170</v>
      </c>
      <c r="E53">
        <v>7960062541865620</v>
      </c>
      <c r="F53">
        <v>5957198996993170</v>
      </c>
    </row>
    <row r="54" spans="1:6">
      <c r="A54">
        <v>2057</v>
      </c>
      <c r="C54">
        <v>4447724758002910</v>
      </c>
      <c r="D54">
        <v>6058908224038260</v>
      </c>
      <c r="E54">
        <v>8188186408555470</v>
      </c>
      <c r="F54">
        <v>6058908224038260</v>
      </c>
    </row>
    <row r="55" spans="1:6">
      <c r="A55">
        <v>2058</v>
      </c>
      <c r="C55">
        <v>4471866735133780</v>
      </c>
      <c r="D55">
        <v>6161739858735810</v>
      </c>
      <c r="E55">
        <v>8422118204294770</v>
      </c>
      <c r="F55">
        <v>6161739858735810</v>
      </c>
    </row>
    <row r="56" spans="1:6">
      <c r="A56">
        <v>2059</v>
      </c>
      <c r="C56">
        <v>4495689091647700</v>
      </c>
      <c r="D56">
        <v>6265723833352410</v>
      </c>
      <c r="E56">
        <v>8662024769744410</v>
      </c>
      <c r="F56">
        <v>6265723833352410</v>
      </c>
    </row>
    <row r="57" spans="1:6">
      <c r="A57">
        <v>2060</v>
      </c>
      <c r="C57">
        <v>4519205510346420</v>
      </c>
      <c r="D57">
        <v>6370889996583120</v>
      </c>
      <c r="E57">
        <v>8908077073432680</v>
      </c>
      <c r="F57">
        <v>6370889996583120</v>
      </c>
    </row>
    <row r="58" spans="1:6">
      <c r="A58">
        <v>2061</v>
      </c>
      <c r="C58">
        <v>4542429090934920</v>
      </c>
      <c r="D58">
        <v>6477268140188960</v>
      </c>
      <c r="E58">
        <v>9160450342924660</v>
      </c>
      <c r="F58">
        <v>6477268140188960</v>
      </c>
    </row>
    <row r="59" spans="1:6">
      <c r="A59">
        <v>2062</v>
      </c>
      <c r="C59">
        <v>4565372380583660</v>
      </c>
      <c r="D59">
        <v>6584888024086610</v>
      </c>
      <c r="E59">
        <v>9419324198088390</v>
      </c>
      <c r="F59">
        <v>6584888024086610</v>
      </c>
    </row>
    <row r="60" spans="1:6">
      <c r="A60">
        <v>2063</v>
      </c>
      <c r="C60">
        <v>4588047402477390</v>
      </c>
      <c r="D60">
        <v>6693779400036540</v>
      </c>
      <c r="E60">
        <v>9684882786644460</v>
      </c>
      <c r="F60">
        <v>6693779400036540</v>
      </c>
    </row>
    <row r="61" spans="1:6">
      <c r="A61">
        <v>2064</v>
      </c>
      <c r="C61">
        <v>4610465682514050</v>
      </c>
      <c r="D61">
        <v>6803972034060430</v>
      </c>
      <c r="E61">
        <v>9957314922176930</v>
      </c>
      <c r="F61">
        <v>6803972034060430</v>
      </c>
    </row>
    <row r="62" spans="1:6">
      <c r="A62">
        <v>2065</v>
      </c>
      <c r="C62">
        <v>4632638274302100</v>
      </c>
      <c r="D62">
        <v>6915495727705610</v>
      </c>
      <c r="E62" s="19">
        <v>1.02368142247767E+16</v>
      </c>
      <c r="F62">
        <v>6915495727705610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E5E7-837B-4722-B480-746F95C6F0EF}">
  <dimension ref="A1:E44"/>
  <sheetViews>
    <sheetView tabSelected="1" workbookViewId="0">
      <selection activeCell="I6" sqref="I6"/>
    </sheetView>
  </sheetViews>
  <sheetFormatPr defaultRowHeight="17.399999999999999"/>
  <cols>
    <col min="2" max="2" width="25.5" customWidth="1"/>
    <col min="4" max="4" width="18.19921875" customWidth="1"/>
  </cols>
  <sheetData>
    <row r="1" spans="1:5">
      <c r="A1" s="27" t="s">
        <v>193</v>
      </c>
      <c r="B1" t="s">
        <v>194</v>
      </c>
    </row>
    <row r="2" spans="1:5">
      <c r="A2" s="27" t="s">
        <v>193</v>
      </c>
      <c r="B2" t="s">
        <v>195</v>
      </c>
    </row>
    <row r="3" spans="1:5">
      <c r="A3" s="27" t="s">
        <v>193</v>
      </c>
      <c r="B3" t="s">
        <v>237</v>
      </c>
    </row>
    <row r="4" spans="1:5">
      <c r="A4" s="9" t="s">
        <v>196</v>
      </c>
      <c r="B4" s="9">
        <v>51684564</v>
      </c>
      <c r="D4" s="24" t="s">
        <v>238</v>
      </c>
      <c r="E4" s="24" t="s">
        <v>239</v>
      </c>
    </row>
    <row r="5" spans="1:5">
      <c r="A5" s="9" t="s">
        <v>197</v>
      </c>
      <c r="B5" s="9">
        <v>51609121</v>
      </c>
      <c r="D5" s="24" t="s">
        <v>240</v>
      </c>
      <c r="E5" s="24" t="s">
        <v>241</v>
      </c>
    </row>
    <row r="6" spans="1:5">
      <c r="A6" s="9" t="s">
        <v>198</v>
      </c>
      <c r="B6" s="9">
        <v>51534551</v>
      </c>
      <c r="D6" s="24" t="s">
        <v>242</v>
      </c>
      <c r="E6" s="24" t="s">
        <v>243</v>
      </c>
    </row>
    <row r="7" spans="1:5">
      <c r="A7" s="9" t="s">
        <v>199</v>
      </c>
      <c r="B7" s="9">
        <v>51459877</v>
      </c>
      <c r="D7" s="24" t="s">
        <v>244</v>
      </c>
      <c r="E7" s="24" t="s">
        <v>245</v>
      </c>
    </row>
    <row r="8" spans="1:5">
      <c r="A8" s="9" t="s">
        <v>200</v>
      </c>
      <c r="B8" s="9">
        <v>51384052</v>
      </c>
      <c r="D8" s="24" t="s">
        <v>246</v>
      </c>
      <c r="E8" s="24" t="s">
        <v>247</v>
      </c>
    </row>
    <row r="9" spans="1:5">
      <c r="A9" s="9" t="s">
        <v>201</v>
      </c>
      <c r="B9" s="9">
        <v>51305713</v>
      </c>
      <c r="D9" s="24" t="s">
        <v>248</v>
      </c>
      <c r="E9" s="24" t="s">
        <v>249</v>
      </c>
    </row>
    <row r="10" spans="1:5">
      <c r="A10" s="9" t="s">
        <v>202</v>
      </c>
      <c r="B10" s="9">
        <v>51223269</v>
      </c>
      <c r="D10" s="24" t="s">
        <v>250</v>
      </c>
      <c r="E10" s="24" t="s">
        <v>251</v>
      </c>
    </row>
    <row r="11" spans="1:5">
      <c r="A11" s="9" t="s">
        <v>203</v>
      </c>
      <c r="B11" s="9">
        <v>51135265</v>
      </c>
      <c r="D11" s="24" t="s">
        <v>252</v>
      </c>
    </row>
    <row r="12" spans="1:5">
      <c r="A12" s="9" t="s">
        <v>204</v>
      </c>
      <c r="B12" s="9">
        <v>51040632</v>
      </c>
      <c r="D12" s="24" t="s">
        <v>253</v>
      </c>
      <c r="E12" s="24" t="s">
        <v>254</v>
      </c>
    </row>
    <row r="13" spans="1:5">
      <c r="A13" s="9" t="s">
        <v>205</v>
      </c>
      <c r="B13" s="9">
        <v>50937726</v>
      </c>
      <c r="D13" s="24" t="s">
        <v>250</v>
      </c>
      <c r="E13" s="24" t="s">
        <v>250</v>
      </c>
    </row>
    <row r="14" spans="1:5">
      <c r="A14" s="9" t="s">
        <v>206</v>
      </c>
      <c r="B14" s="9">
        <v>50824868</v>
      </c>
      <c r="D14" s="24" t="s">
        <v>250</v>
      </c>
      <c r="E14" s="24" t="s">
        <v>255</v>
      </c>
    </row>
    <row r="15" spans="1:5">
      <c r="A15" s="9" t="s">
        <v>207</v>
      </c>
      <c r="B15" s="9">
        <v>50701389</v>
      </c>
      <c r="D15" s="24" t="s">
        <v>250</v>
      </c>
      <c r="E15" s="24" t="s">
        <v>250</v>
      </c>
    </row>
    <row r="16" spans="1:5">
      <c r="A16" s="9" t="s">
        <v>208</v>
      </c>
      <c r="B16" s="9">
        <v>50567057</v>
      </c>
      <c r="D16" s="24" t="s">
        <v>250</v>
      </c>
      <c r="E16" s="24" t="s">
        <v>256</v>
      </c>
    </row>
    <row r="17" spans="1:5">
      <c r="A17" s="9" t="s">
        <v>209</v>
      </c>
      <c r="B17" s="9">
        <v>50417167</v>
      </c>
      <c r="D17" s="24" t="s">
        <v>250</v>
      </c>
      <c r="E17" s="24" t="s">
        <v>250</v>
      </c>
    </row>
    <row r="18" spans="1:5">
      <c r="A18" s="9" t="s">
        <v>210</v>
      </c>
      <c r="B18" s="9">
        <v>50247657</v>
      </c>
      <c r="D18" s="24" t="s">
        <v>250</v>
      </c>
      <c r="E18" s="24" t="s">
        <v>257</v>
      </c>
    </row>
    <row r="19" spans="1:5">
      <c r="A19" s="9" t="s">
        <v>211</v>
      </c>
      <c r="B19" s="9">
        <v>50059218</v>
      </c>
      <c r="D19" s="24" t="s">
        <v>250</v>
      </c>
      <c r="E19" s="24" t="s">
        <v>250</v>
      </c>
    </row>
    <row r="20" spans="1:5">
      <c r="A20" s="9" t="s">
        <v>212</v>
      </c>
      <c r="B20" s="9">
        <v>49851637</v>
      </c>
      <c r="D20" s="24" t="s">
        <v>250</v>
      </c>
      <c r="E20" s="24" t="s">
        <v>258</v>
      </c>
    </row>
    <row r="21" spans="1:5">
      <c r="A21" s="9" t="s">
        <v>213</v>
      </c>
      <c r="B21" s="9">
        <v>49625415</v>
      </c>
      <c r="D21" s="24" t="s">
        <v>250</v>
      </c>
      <c r="E21" s="24" t="s">
        <v>250</v>
      </c>
    </row>
    <row r="22" spans="1:5">
      <c r="A22" s="9" t="s">
        <v>214</v>
      </c>
      <c r="B22" s="9">
        <v>49380766</v>
      </c>
      <c r="D22" s="24" t="s">
        <v>250</v>
      </c>
      <c r="E22" s="24" t="s">
        <v>259</v>
      </c>
    </row>
    <row r="23" spans="1:5">
      <c r="A23" s="9" t="s">
        <v>215</v>
      </c>
      <c r="B23" s="9">
        <v>49117432</v>
      </c>
      <c r="D23" s="24" t="s">
        <v>250</v>
      </c>
      <c r="E23" s="24" t="s">
        <v>250</v>
      </c>
    </row>
    <row r="24" spans="1:5">
      <c r="A24" s="9" t="s">
        <v>216</v>
      </c>
      <c r="B24" s="9">
        <v>48835031</v>
      </c>
      <c r="D24" s="24" t="s">
        <v>250</v>
      </c>
      <c r="E24" s="24" t="s">
        <v>260</v>
      </c>
    </row>
    <row r="25" spans="1:5">
      <c r="A25" s="9" t="s">
        <v>217</v>
      </c>
      <c r="B25" s="9">
        <v>48532231</v>
      </c>
      <c r="D25" s="24" t="s">
        <v>250</v>
      </c>
      <c r="E25" s="24" t="s">
        <v>250</v>
      </c>
    </row>
    <row r="26" spans="1:5">
      <c r="A26" s="9" t="s">
        <v>218</v>
      </c>
      <c r="B26" s="9">
        <v>48208374</v>
      </c>
      <c r="D26" s="24" t="s">
        <v>250</v>
      </c>
      <c r="E26" s="24" t="s">
        <v>261</v>
      </c>
    </row>
    <row r="27" spans="1:5">
      <c r="A27" s="9" t="s">
        <v>219</v>
      </c>
      <c r="B27" s="9">
        <v>47863071</v>
      </c>
    </row>
    <row r="28" spans="1:5">
      <c r="A28" s="9" t="s">
        <v>220</v>
      </c>
      <c r="B28" s="9">
        <v>47495914</v>
      </c>
    </row>
    <row r="29" spans="1:5">
      <c r="A29" s="9" t="s">
        <v>221</v>
      </c>
      <c r="B29" s="9">
        <v>47106960</v>
      </c>
    </row>
    <row r="30" spans="1:5">
      <c r="A30" s="9" t="s">
        <v>222</v>
      </c>
      <c r="B30" s="9">
        <v>46697391</v>
      </c>
    </row>
    <row r="31" spans="1:5">
      <c r="A31" s="9" t="s">
        <v>223</v>
      </c>
      <c r="B31" s="9">
        <v>46267614</v>
      </c>
    </row>
    <row r="32" spans="1:5">
      <c r="A32" s="9" t="s">
        <v>224</v>
      </c>
      <c r="B32" s="9">
        <v>45818111</v>
      </c>
    </row>
    <row r="33" spans="1:2">
      <c r="A33" s="9" t="s">
        <v>225</v>
      </c>
      <c r="B33" s="9">
        <v>45350648</v>
      </c>
    </row>
    <row r="34" spans="1:2">
      <c r="A34" s="9" t="s">
        <v>226</v>
      </c>
      <c r="B34" s="9">
        <v>44867534</v>
      </c>
    </row>
    <row r="35" spans="1:2">
      <c r="A35" s="9" t="s">
        <v>227</v>
      </c>
      <c r="B35" s="9">
        <v>44371641</v>
      </c>
    </row>
    <row r="36" spans="1:2">
      <c r="A36" s="9" t="s">
        <v>228</v>
      </c>
      <c r="B36" s="9">
        <v>43864958</v>
      </c>
    </row>
    <row r="37" spans="1:2">
      <c r="A37" s="9" t="s">
        <v>229</v>
      </c>
      <c r="B37" s="9">
        <v>43349217</v>
      </c>
    </row>
    <row r="38" spans="1:2">
      <c r="A38" s="9" t="s">
        <v>230</v>
      </c>
      <c r="B38" s="9">
        <v>42827316</v>
      </c>
    </row>
    <row r="39" spans="1:2">
      <c r="A39" s="9" t="s">
        <v>231</v>
      </c>
      <c r="B39" s="9">
        <v>42302086</v>
      </c>
    </row>
    <row r="40" spans="1:2">
      <c r="A40" s="9" t="s">
        <v>232</v>
      </c>
      <c r="B40" s="9">
        <v>41775305</v>
      </c>
    </row>
    <row r="41" spans="1:2">
      <c r="A41" s="9" t="s">
        <v>233</v>
      </c>
      <c r="B41" s="9">
        <v>41248542</v>
      </c>
    </row>
    <row r="42" spans="1:2">
      <c r="A42" s="9" t="s">
        <v>234</v>
      </c>
      <c r="B42" s="9">
        <v>40723791</v>
      </c>
    </row>
    <row r="43" spans="1:2">
      <c r="A43" s="9" t="s">
        <v>235</v>
      </c>
      <c r="B43" s="9">
        <v>40202384</v>
      </c>
    </row>
    <row r="44" spans="1:2">
      <c r="A44" s="9" t="s">
        <v>236</v>
      </c>
      <c r="B44" s="9">
        <v>39685210</v>
      </c>
    </row>
  </sheetData>
  <mergeCells count="1">
    <mergeCell ref="A1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중도 탈락률</vt:lpstr>
      <vt:lpstr>언제부터 의대 증원율을 줄여야할까</vt:lpstr>
      <vt:lpstr>언제부터 의대 증원율을 줄여야할까2편</vt:lpstr>
      <vt:lpstr>3편(활동의사수 데이터 기반)</vt:lpstr>
      <vt:lpstr>2065년까지 예상 GDP</vt:lpstr>
      <vt:lpstr>GDP 예상 2</vt:lpstr>
      <vt:lpstr>GDP 2-1</vt:lpstr>
      <vt:lpstr>인구 예상 추계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윤지 조</dc:creator>
  <cp:lastModifiedBy>leesejin</cp:lastModifiedBy>
  <dcterms:created xsi:type="dcterms:W3CDTF">2025-08-21T07:54:34Z</dcterms:created>
  <dcterms:modified xsi:type="dcterms:W3CDTF">2025-09-06T16:14:47Z</dcterms:modified>
</cp:coreProperties>
</file>